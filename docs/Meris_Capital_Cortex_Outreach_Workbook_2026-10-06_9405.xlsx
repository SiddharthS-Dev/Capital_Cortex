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_Me" sheetId="1" state="visible" r:id="rId1"/>
    <sheet xmlns:r="http://schemas.openxmlformats.org/officeDocument/2006/relationships" name="01_First_Actions" sheetId="2" state="visible" r:id="rId2"/>
    <sheet xmlns:r="http://schemas.openxmlformats.org/officeDocument/2006/relationships" name="02_Prospects" sheetId="3" state="visible" r:id="rId3"/>
    <sheet xmlns:r="http://schemas.openxmlformats.org/officeDocument/2006/relationships" name="03_USA" sheetId="4" state="visible" r:id="rId4"/>
    <sheet xmlns:r="http://schemas.openxmlformats.org/officeDocument/2006/relationships" name="04_UAE" sheetId="5" state="visible" r:id="rId5"/>
    <sheet xmlns:r="http://schemas.openxmlformats.org/officeDocument/2006/relationships" name="05_Singapore" sheetId="6" state="visible" r:id="rId6"/>
    <sheet xmlns:r="http://schemas.openxmlformats.org/officeDocument/2006/relationships" name="06_India" sheetId="7" state="visible" r:id="rId7"/>
    <sheet xmlns:r="http://schemas.openxmlformats.org/officeDocument/2006/relationships" name="07_Eligibility_Gates" sheetId="8" state="visible" r:id="rId8"/>
    <sheet xmlns:r="http://schemas.openxmlformats.org/officeDocument/2006/relationships" name="08_PE_Later" sheetId="9" state="visible" r:id="rId9"/>
    <sheet xmlns:r="http://schemas.openxmlformats.org/officeDocument/2006/relationships" name="09_Source_Register" sheetId="10" state="visible" r:id="rId10"/>
    <sheet xmlns:r="http://schemas.openxmlformats.org/officeDocument/2006/relationships" name="10_Outreach_Tracker" sheetId="11" state="visible" r:id="rId11"/>
    <sheet xmlns:r="http://schemas.openxmlformats.org/officeDocument/2006/relationships" name="11_30_Day_Playbook" sheetId="12" state="visible" r:id="rId12"/>
    <sheet xmlns:r="http://schemas.openxmlformats.org/officeDocument/2006/relationships" name="12_Meris_Import" sheetId="13" state="visible" r:id="rId13"/>
    <sheet xmlns:r="http://schemas.openxmlformats.org/officeDocument/2006/relationships" name="13_Vertical_Pitches" sheetId="14" state="visible" r:id="rId14"/>
  </sheets>
  <definedNames>
    <definedName name="_xlnm._FilterDatabase" localSheetId="0" hidden="1">'00_Read_Me'!$A$1:$B$17</definedName>
    <definedName name="_xlnm.Print_Titles" localSheetId="0">'00_Read_Me'!$1:$1</definedName>
    <definedName name="_xlnm._FilterDatabase" localSheetId="1" hidden="1">'01_First_Actions'!$A$1:$L$21</definedName>
    <definedName name="_xlnm.Print_Titles" localSheetId="1">'01_First_Actions'!$1:$1</definedName>
    <definedName name="_xlnm._FilterDatabase" localSheetId="2" hidden="1">'02_Prospects'!$A$1:$X$53</definedName>
    <definedName name="_xlnm.Print_Titles" localSheetId="2">'02_Prospects'!$1:$1</definedName>
    <definedName name="_xlnm._FilterDatabase" localSheetId="3" hidden="1">'03_USA'!$A$1:$X$19</definedName>
    <definedName name="_xlnm.Print_Titles" localSheetId="3">'03_USA'!$1:$1</definedName>
    <definedName name="_xlnm._FilterDatabase" localSheetId="4" hidden="1">'04_UAE'!$A$1:$X$13</definedName>
    <definedName name="_xlnm.Print_Titles" localSheetId="4">'04_UAE'!$1:$1</definedName>
    <definedName name="_xlnm._FilterDatabase" localSheetId="5" hidden="1">'05_Singapore'!$A$1:$X$12</definedName>
    <definedName name="_xlnm.Print_Titles" localSheetId="5">'05_Singapore'!$1:$1</definedName>
    <definedName name="_xlnm._FilterDatabase" localSheetId="6" hidden="1">'06_India'!$A$1:$X$12</definedName>
    <definedName name="_xlnm.Print_Titles" localSheetId="6">'06_India'!$1:$1</definedName>
    <definedName name="_xlnm._FilterDatabase" localSheetId="7" hidden="1">'07_Eligibility_Gates'!$A$1:$G$9</definedName>
    <definedName name="_xlnm.Print_Titles" localSheetId="7">'07_Eligibility_Gates'!$1:$1</definedName>
    <definedName name="_xlnm._FilterDatabase" localSheetId="8" hidden="1">'08_PE_Later'!$A$1:$X$5</definedName>
    <definedName name="_xlnm.Print_Titles" localSheetId="8">'08_PE_Later'!$1:$1</definedName>
    <definedName name="_xlnm._FilterDatabase" localSheetId="9" hidden="1">'09_Source_Register'!$A$1:$H$53</definedName>
    <definedName name="_xlnm.Print_Titles" localSheetId="9">'09_Source_Register'!$1:$1</definedName>
    <definedName name="_xlnm._FilterDatabase" localSheetId="10" hidden="1">'10_Outreach_Tracker'!$A$1:$O$53</definedName>
    <definedName name="_xlnm.Print_Titles" localSheetId="10">'10_Outreach_Tracker'!$1:$1</definedName>
    <definedName name="_xlnm._FilterDatabase" localSheetId="11" hidden="1">'11_30_Day_Playbook'!$A$1:$F$9</definedName>
    <definedName name="_xlnm.Print_Titles" localSheetId="11">'11_30_Day_Playbook'!$1:$1</definedName>
    <definedName name="_xlnm._FilterDatabase" localSheetId="12" hidden="1">'12_Meris_Import'!$A$1:$AA$53</definedName>
    <definedName name="_xlnm.Print_Titles" localSheetId="12">'12_Meris_Import'!$1:$1</definedName>
    <definedName name="_xlnm._FilterDatabase" localSheetId="13" hidden="1">'13_Vertical_Pitches'!$A$1:$E$7</definedName>
    <definedName name="_xlnm.Print_Titles" localSheetId="13">'13_Vertical_Pitches'!$1:$1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color rgb="00153449"/>
      <sz val="11"/>
    </font>
    <font>
      <name val="Calibri"/>
      <color rgb="000066AA"/>
      <sz val="11"/>
      <u val="single"/>
    </font>
  </fonts>
  <fills count="3">
    <fill>
      <patternFill/>
    </fill>
    <fill>
      <patternFill patternType="gray125"/>
    </fill>
    <fill>
      <patternFill patternType="solid">
        <fgColor rgb="001534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_00_Read_Me" displayName="T_00_Read_Me" ref="A1:B17" headerRowCount="1">
  <autoFilter ref="A1:B17"/>
  <tableColumns count="2">
    <tableColumn id="1" name="Topic"/>
    <tableColumn id="2" name="Guidance"/>
  </tableColumns>
  <tableStyleInfo name="TableStyleMedium2" showRowStripes="1"/>
</table>
</file>

<file path=xl/tables/table2.xml><?xml version="1.0" encoding="utf-8"?>
<table xmlns="http://schemas.openxmlformats.org/spreadsheetml/2006/main" id="2" name="T_01_First_Actions" displayName="T_01_First_Actions" ref="A1:L21" headerRowCount="1">
  <autoFilter ref="A1:L21"/>
  <tableColumns count="12">
    <tableColumn id="1" name="Sequence"/>
    <tableColumn id="2" name="Prospect ID"/>
    <tableColumn id="3" name="Country"/>
    <tableColumn id="4" name="Organization"/>
    <tableColumn id="5" name="Purpose"/>
    <tableColumn id="6" name="Engagement outlook"/>
    <tableColumn id="7" name="Cash outlook"/>
    <tableColumn id="8" name="Contact"/>
    <tableColumn id="9" name="First ask"/>
    <tableColumn id="10" name="Recommended lead"/>
    <tableColumn id="11" name="Target first contact"/>
    <tableColumn id="12" name="Success milestone"/>
  </tableColumns>
  <tableStyleInfo name="TableStyleMedium2" showRowStripes="1"/>
</table>
</file>

<file path=xl/tables/table3.xml><?xml version="1.0" encoding="utf-8"?>
<table xmlns="http://schemas.openxmlformats.org/spreadsheetml/2006/main" id="3" name="T_02_Prospects" displayName="T_02_Prospects" ref="A1:X53" headerRowCount="1">
  <autoFilter ref="A1:X53"/>
  <tableColumns count="24">
    <tableColumn id="1" name="Prospect ID"/>
    <tableColumn id="2" name="Country"/>
    <tableColumn id="3" name="Country rank"/>
    <tableColumn id="4" name="Organization / programme"/>
    <tableColumn id="5" name="Category"/>
    <tableColumn id="6" name="Instrument"/>
    <tableColumn id="7" name="Relevant vertical / product"/>
    <tableColumn id="8" name="Pre-revenue stage evidence"/>
    <tableColumn id="9" name="Route"/>
    <tableColumn id="10" name="Engagement outlook"/>
    <tableColumn id="11" name="Direct cash outlook"/>
    <tableColumn id="12" name="Relevance (1-5)"/>
    <tableColumn id="13" name="Accessibility (1-5)"/>
    <tableColumn id="14" name="Readiness (1-5)"/>
    <tableColumn id="15" name="Priority score /100"/>
    <tableColumn id="16" name="Eligibility / blockers"/>
    <tableColumn id="17" name="Current status"/>
    <tableColumn id="18" name="Public contact / team"/>
    <tableColumn id="19" name="Contact / apply URL"/>
    <tableColumn id="20" name="Published benefit / terms"/>
    <tableColumn id="21" name="Tailored first ask"/>
    <tableColumn id="22" name="Evidence summary"/>
    <tableColumn id="23" name="Official source URL"/>
    <tableColumn id="24" name="Checked date"/>
  </tableColumns>
  <tableStyleInfo name="TableStyleMedium2" showRowStripes="1"/>
</table>
</file>

<file path=xl/tables/table4.xml><?xml version="1.0" encoding="utf-8"?>
<table xmlns="http://schemas.openxmlformats.org/spreadsheetml/2006/main" id="4" name="T_03_USA" displayName="T_03_USA" ref="A1:X19" headerRowCount="1">
  <autoFilter ref="A1:X19"/>
  <tableColumns count="24">
    <tableColumn id="1" name="Prospect ID"/>
    <tableColumn id="2" name="Country"/>
    <tableColumn id="3" name="Country rank"/>
    <tableColumn id="4" name="Organization / programme"/>
    <tableColumn id="5" name="Category"/>
    <tableColumn id="6" name="Instrument"/>
    <tableColumn id="7" name="Relevant vertical / product"/>
    <tableColumn id="8" name="Pre-revenue stage evidence"/>
    <tableColumn id="9" name="Route"/>
    <tableColumn id="10" name="Engagement outlook"/>
    <tableColumn id="11" name="Direct cash outlook"/>
    <tableColumn id="12" name="Relevance (1-5)"/>
    <tableColumn id="13" name="Accessibility (1-5)"/>
    <tableColumn id="14" name="Readiness (1-5)"/>
    <tableColumn id="15" name="Priority score /100"/>
    <tableColumn id="16" name="Eligibility / blockers"/>
    <tableColumn id="17" name="Current status"/>
    <tableColumn id="18" name="Public contact / team"/>
    <tableColumn id="19" name="Contact / apply URL"/>
    <tableColumn id="20" name="Published benefit / terms"/>
    <tableColumn id="21" name="Tailored first ask"/>
    <tableColumn id="22" name="Evidence summary"/>
    <tableColumn id="23" name="Official source URL"/>
    <tableColumn id="24" name="Checked date"/>
  </tableColumns>
  <tableStyleInfo name="TableStyleMedium2" showRowStripes="1"/>
</table>
</file>

<file path=xl/tables/table5.xml><?xml version="1.0" encoding="utf-8"?>
<table xmlns="http://schemas.openxmlformats.org/spreadsheetml/2006/main" id="5" name="T_04_UAE" displayName="T_04_UAE" ref="A1:X13" headerRowCount="1">
  <autoFilter ref="A1:X13"/>
  <tableColumns count="24">
    <tableColumn id="1" name="Prospect ID"/>
    <tableColumn id="2" name="Country"/>
    <tableColumn id="3" name="Country rank"/>
    <tableColumn id="4" name="Organization / programme"/>
    <tableColumn id="5" name="Category"/>
    <tableColumn id="6" name="Instrument"/>
    <tableColumn id="7" name="Relevant vertical / product"/>
    <tableColumn id="8" name="Pre-revenue stage evidence"/>
    <tableColumn id="9" name="Route"/>
    <tableColumn id="10" name="Engagement outlook"/>
    <tableColumn id="11" name="Direct cash outlook"/>
    <tableColumn id="12" name="Relevance (1-5)"/>
    <tableColumn id="13" name="Accessibility (1-5)"/>
    <tableColumn id="14" name="Readiness (1-5)"/>
    <tableColumn id="15" name="Priority score /100"/>
    <tableColumn id="16" name="Eligibility / blockers"/>
    <tableColumn id="17" name="Current status"/>
    <tableColumn id="18" name="Public contact / team"/>
    <tableColumn id="19" name="Contact / apply URL"/>
    <tableColumn id="20" name="Published benefit / terms"/>
    <tableColumn id="21" name="Tailored first ask"/>
    <tableColumn id="22" name="Evidence summary"/>
    <tableColumn id="23" name="Official source URL"/>
    <tableColumn id="24" name="Checked date"/>
  </tableColumns>
  <tableStyleInfo name="TableStyleMedium2" showRowStripes="1"/>
</table>
</file>

<file path=xl/tables/table6.xml><?xml version="1.0" encoding="utf-8"?>
<table xmlns="http://schemas.openxmlformats.org/spreadsheetml/2006/main" id="6" name="T_05_Singapore" displayName="T_05_Singapore" ref="A1:X12" headerRowCount="1">
  <autoFilter ref="A1:X12"/>
  <tableColumns count="24">
    <tableColumn id="1" name="Prospect ID"/>
    <tableColumn id="2" name="Country"/>
    <tableColumn id="3" name="Country rank"/>
    <tableColumn id="4" name="Organization / programme"/>
    <tableColumn id="5" name="Category"/>
    <tableColumn id="6" name="Instrument"/>
    <tableColumn id="7" name="Relevant vertical / product"/>
    <tableColumn id="8" name="Pre-revenue stage evidence"/>
    <tableColumn id="9" name="Route"/>
    <tableColumn id="10" name="Engagement outlook"/>
    <tableColumn id="11" name="Direct cash outlook"/>
    <tableColumn id="12" name="Relevance (1-5)"/>
    <tableColumn id="13" name="Accessibility (1-5)"/>
    <tableColumn id="14" name="Readiness (1-5)"/>
    <tableColumn id="15" name="Priority score /100"/>
    <tableColumn id="16" name="Eligibility / blockers"/>
    <tableColumn id="17" name="Current status"/>
    <tableColumn id="18" name="Public contact / team"/>
    <tableColumn id="19" name="Contact / apply URL"/>
    <tableColumn id="20" name="Published benefit / terms"/>
    <tableColumn id="21" name="Tailored first ask"/>
    <tableColumn id="22" name="Evidence summary"/>
    <tableColumn id="23" name="Official source URL"/>
    <tableColumn id="24" name="Checked date"/>
  </tableColumns>
  <tableStyleInfo name="TableStyleMedium2" showRowStripes="1"/>
</table>
</file>

<file path=xl/tables/table7.xml><?xml version="1.0" encoding="utf-8"?>
<table xmlns="http://schemas.openxmlformats.org/spreadsheetml/2006/main" id="7" name="T_06_India" displayName="T_06_India" ref="A1:X12" headerRowCount="1">
  <autoFilter ref="A1:X12"/>
  <tableColumns count="24">
    <tableColumn id="1" name="Prospect ID"/>
    <tableColumn id="2" name="Country"/>
    <tableColumn id="3" name="Country rank"/>
    <tableColumn id="4" name="Organization / programme"/>
    <tableColumn id="5" name="Category"/>
    <tableColumn id="6" name="Instrument"/>
    <tableColumn id="7" name="Relevant vertical / product"/>
    <tableColumn id="8" name="Pre-revenue stage evidence"/>
    <tableColumn id="9" name="Route"/>
    <tableColumn id="10" name="Engagement outlook"/>
    <tableColumn id="11" name="Direct cash outlook"/>
    <tableColumn id="12" name="Relevance (1-5)"/>
    <tableColumn id="13" name="Accessibility (1-5)"/>
    <tableColumn id="14" name="Readiness (1-5)"/>
    <tableColumn id="15" name="Priority score /100"/>
    <tableColumn id="16" name="Eligibility / blockers"/>
    <tableColumn id="17" name="Current status"/>
    <tableColumn id="18" name="Public contact / team"/>
    <tableColumn id="19" name="Contact / apply URL"/>
    <tableColumn id="20" name="Published benefit / terms"/>
    <tableColumn id="21" name="Tailored first ask"/>
    <tableColumn id="22" name="Evidence summary"/>
    <tableColumn id="23" name="Official source URL"/>
    <tableColumn id="24" name="Checked date"/>
  </tableColumns>
  <tableStyleInfo name="TableStyleMedium2" showRowStripes="1"/>
</table>
</file>

<file path=xl/tables/table8.xml><?xml version="1.0" encoding="utf-8"?>
<table xmlns="http://schemas.openxmlformats.org/spreadsheetml/2006/main" id="8" name="T_07_Eligibility_Gates" displayName="T_07_Eligibility_Gates" ref="A1:G9" headerRowCount="1">
  <autoFilter ref="A1:G9"/>
  <tableColumns count="7">
    <tableColumn id="1" name="Gate ID"/>
    <tableColumn id="2" name="Scope"/>
    <tableColumn id="3" name="Decision"/>
    <tableColumn id="4" name="Known issue / assumption"/>
    <tableColumn id="5" name="Proposed owner"/>
    <tableColumn id="6" name="Resolution action"/>
    <tableColumn id="7" name="Affected prospects"/>
  </tableColumns>
  <tableStyleInfo name="TableStyleMedium2" showRowStripes="1"/>
</table>
</file>

<file path=xl/tables/table9.xml><?xml version="1.0" encoding="utf-8"?>
<table xmlns="http://schemas.openxmlformats.org/spreadsheetml/2006/main" id="9" name="T_08_PE_Later" displayName="T_08_PE_Later" ref="A1:X5" headerRowCount="1">
  <autoFilter ref="A1:X5"/>
  <tableColumns count="24">
    <tableColumn id="1" name="Prospect ID"/>
    <tableColumn id="2" name="Country"/>
    <tableColumn id="3" name="Country rank"/>
    <tableColumn id="4" name="Organization / programme"/>
    <tableColumn id="5" name="Category"/>
    <tableColumn id="6" name="Instrument"/>
    <tableColumn id="7" name="Relevant vertical / product"/>
    <tableColumn id="8" name="Pre-revenue stage evidence"/>
    <tableColumn id="9" name="Route"/>
    <tableColumn id="10" name="Engagement outlook"/>
    <tableColumn id="11" name="Direct cash outlook"/>
    <tableColumn id="12" name="Relevance (1-5)"/>
    <tableColumn id="13" name="Accessibility (1-5)"/>
    <tableColumn id="14" name="Readiness (1-5)"/>
    <tableColumn id="15" name="Priority score /100"/>
    <tableColumn id="16" name="Eligibility / blockers"/>
    <tableColumn id="17" name="Current status"/>
    <tableColumn id="18" name="Public contact / team"/>
    <tableColumn id="19" name="Contact / apply URL"/>
    <tableColumn id="20" name="Published benefit / terms"/>
    <tableColumn id="21" name="Tailored first ask"/>
    <tableColumn id="22" name="Evidence summary"/>
    <tableColumn id="23" name="Official source URL"/>
    <tableColumn id="24" name="Checked date"/>
  </tableColumns>
  <tableStyleInfo name="TableStyleMedium2" showRowStripes="1"/>
</table>
</file>

<file path=xl/tables/table10.xml><?xml version="1.0" encoding="utf-8"?>
<table xmlns="http://schemas.openxmlformats.org/spreadsheetml/2006/main" id="10" name="T_09_Source_Register" displayName="T_09_Source_Register" ref="A1:H53" headerRowCount="1">
  <autoFilter ref="A1:H53"/>
  <tableColumns count="8">
    <tableColumn id="1" name="Prospect ID"/>
    <tableColumn id="2" name="Organization"/>
    <tableColumn id="3" name="Programme / thesis source"/>
    <tableColumn id="4" name="Contact source"/>
    <tableColumn id="5" name="Evidence summary"/>
    <tableColumn id="6" name="Evidence level"/>
    <tableColumn id="7" name="Status precision"/>
    <tableColumn id="8" name="Research date"/>
  </tableColumns>
  <tableStyleInfo name="TableStyleMedium2" showRowStripes="1"/>
</table>
</file>

<file path=xl/tables/table11.xml><?xml version="1.0" encoding="utf-8"?>
<table xmlns="http://schemas.openxmlformats.org/spreadsheetml/2006/main" id="11" name="T_10_Outreach_Tracker" displayName="T_10_Outreach_Tracker" ref="A1:O53" headerRowCount="1">
  <autoFilter ref="A1:O53"/>
  <tableColumns count="15">
    <tableColumn id="1" name="Prospect ID"/>
    <tableColumn id="2" name="Country"/>
    <tableColumn id="3" name="Organization"/>
    <tableColumn id="4" name="Recommended route"/>
    <tableColumn id="5" name="Proposed owner"/>
    <tableColumn id="6" name="Status"/>
    <tableColumn id="7" name="First sent"/>
    <tableColumn id="8" name="Follow-up 1"/>
    <tableColumn id="9" name="Follow-up 2"/>
    <tableColumn id="10" name="Next action date"/>
    <tableColumn id="11" name="Specific ask"/>
    <tableColumn id="12" name="Confirmed contact / reply"/>
    <tableColumn id="13" name="Eligibility decision"/>
    <tableColumn id="14" name="Notes / outcome"/>
    <tableColumn id="15" name="Source"/>
  </tableColumns>
  <tableStyleInfo name="TableStyleMedium2" showRowStripes="1"/>
</table>
</file>

<file path=xl/tables/table12.xml><?xml version="1.0" encoding="utf-8"?>
<table xmlns="http://schemas.openxmlformats.org/spreadsheetml/2006/main" id="12" name="T_11_30_Day_Playbook" displayName="T_11_30_Day_Playbook" ref="A1:F9" headerRowCount="1">
  <autoFilter ref="A1:F9"/>
  <tableColumns count="6">
    <tableColumn id="1" name="Step"/>
    <tableColumn id="2" name="Timing / subject"/>
    <tableColumn id="3" name="Action / template"/>
    <tableColumn id="4" name="Proposed owner"/>
    <tableColumn id="5" name="Deliverable / draft"/>
    <tableColumn id="6" name="Acceptance / caution"/>
  </tableColumns>
  <tableStyleInfo name="TableStyleMedium2" showRowStripes="1"/>
</table>
</file>

<file path=xl/tables/table13.xml><?xml version="1.0" encoding="utf-8"?>
<table xmlns="http://schemas.openxmlformats.org/spreadsheetml/2006/main" id="13" name="T_12_Meris_Import" displayName="T_12_Meris_Import" ref="A1:AA53" headerRowCount="1">
  <autoFilter ref="A1:AA53"/>
  <tableColumns count="27">
    <tableColumn id="1" name="prospect_id"/>
    <tableColumn id="2" name="engine"/>
    <tableColumn id="3" name="module"/>
    <tableColumn id="4" name="country"/>
    <tableColumn id="5" name="country_order"/>
    <tableColumn id="6" name="country_rank"/>
    <tableColumn id="7" name="organization"/>
    <tableColumn id="8" name="category"/>
    <tableColumn id="9" name="instrument"/>
    <tableColumn id="10" name="vertical_products"/>
    <tableColumn id="11" name="stage_fit"/>
    <tableColumn id="12" name="eligibility_gate"/>
    <tableColumn id="13" name="route"/>
    <tableColumn id="14" name="engagement_outlook"/>
    <tableColumn id="15" name="cash_outlook"/>
    <tableColumn id="16" name="relevance_1_5"/>
    <tableColumn id="17" name="accessibility_1_5"/>
    <tableColumn id="18" name="readiness_1_5"/>
    <tableColumn id="19" name="priority_score"/>
    <tableColumn id="20" name="contact_channel"/>
    <tableColumn id="21" name="contact_url"/>
    <tableColumn id="22" name="official_source_url"/>
    <tableColumn id="23" name="verified_on"/>
    <tableColumn id="24" name="programme_status"/>
    <tableColumn id="25" name="next_action"/>
    <tableColumn id="26" name="status"/>
    <tableColumn id="27" name="proposed_owner"/>
  </tableColumns>
  <tableStyleInfo name="TableStyleMedium2" showRowStripes="1"/>
</table>
</file>

<file path=xl/tables/table14.xml><?xml version="1.0" encoding="utf-8"?>
<table xmlns="http://schemas.openxmlformats.org/spreadsheetml/2006/main" id="14" name="T_13_Vertical_Pitches" displayName="T_13_Vertical_Pitches" ref="A1:E7" headerRowCount="1">
  <autoFilter ref="A1:E7"/>
  <tableColumns count="5">
    <tableColumn id="1" name="Vertical"/>
    <tableColumn id="2" name="Product focus"/>
    <tableColumn id="3" name="Priority ecosystems"/>
    <tableColumn id="4" name="Outcome KPIs to validate"/>
    <tableColumn id="5" name="Pilot evidence need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aws.amazon.com/startups/credits/" TargetMode="External" Id="rId1"/><Relationship Type="http://schemas.openxmlformats.org/officeDocument/2006/relationships/hyperlink" Target="https://aws.amazon.com/startups/credits/" TargetMode="External" Id="rId2"/><Relationship Type="http://schemas.openxmlformats.org/officeDocument/2006/relationships/hyperlink" Target="https://thecompanylab.org/accelerator/energy-innovation/" TargetMode="External" Id="rId3"/><Relationship Type="http://schemas.openxmlformats.org/officeDocument/2006/relationships/hyperlink" Target="https://thecompanylab.org/accelerator/energy-innovation/" TargetMode="External" Id="rId4"/><Relationship Type="http://schemas.openxmlformats.org/officeDocument/2006/relationships/hyperlink" Target="https://ecocomplex.rutgers.edu/contact.html" TargetMode="External" Id="rId5"/><Relationship Type="http://schemas.openxmlformats.org/officeDocument/2006/relationships/hyperlink" Target="https://ecocomplex.rutgers.edu/incubator-businesses.html" TargetMode="External" Id="rId6"/><Relationship Type="http://schemas.openxmlformats.org/officeDocument/2006/relationships/hyperlink" Target="https://www.ahla.com/htng/communities-of-interest-artificial-intelligence" TargetMode="External" Id="rId7"/><Relationship Type="http://schemas.openxmlformats.org/officeDocument/2006/relationships/hyperlink" Target="https://www.ahla.com/htng/communities-of-interest-artificial-intelligence" TargetMode="External" Id="rId8"/><Relationship Type="http://schemas.openxmlformats.org/officeDocument/2006/relationships/hyperlink" Target="https://mybizenergy.pseg.com/energy-management-program" TargetMode="External" Id="rId9"/><Relationship Type="http://schemas.openxmlformats.org/officeDocument/2006/relationships/hyperlink" Target="https://bizsaveportal.pseg.com/TradeAlly/TradeAllyApplication/Begin" TargetMode="External" Id="rId10"/><Relationship Type="http://schemas.openxmlformats.org/officeDocument/2006/relationships/hyperlink" Target="https://www.third-derivative.org/startups" TargetMode="External" Id="rId11"/><Relationship Type="http://schemas.openxmlformats.org/officeDocument/2006/relationships/hyperlink" Target="https://www.third-derivative.org/startups" TargetMode="External" Id="rId12"/><Relationship Type="http://schemas.openxmlformats.org/officeDocument/2006/relationships/hyperlink" Target="https://cevg.com/apply/" TargetMode="External" Id="rId13"/><Relationship Type="http://schemas.openxmlformats.org/officeDocument/2006/relationships/hyperlink" Target="https://cleanenergyventures.com/working-with-us" TargetMode="External" Id="rId14"/><Relationship Type="http://schemas.openxmlformats.org/officeDocument/2006/relationships/hyperlink" Target="https://www.congruentvc.com/thinking" TargetMode="External" Id="rId15"/><Relationship Type="http://schemas.openxmlformats.org/officeDocument/2006/relationships/hyperlink" Target="https://www.congruentvc.com/" TargetMode="External" Id="rId16"/><Relationship Type="http://schemas.openxmlformats.org/officeDocument/2006/relationships/hyperlink" Target="https://elementalimpact.com/funding-opportunities/apply/" TargetMode="External" Id="rId17"/><Relationship Type="http://schemas.openxmlformats.org/officeDocument/2006/relationships/hyperlink" Target="https://elementalimpact.com/funding-opportunities/apply/" TargetMode="External" Id="rId18"/><Relationship Type="http://schemas.openxmlformats.org/officeDocument/2006/relationships/hyperlink" Target="https://www.cleantechopen.org/en/page/2026-cto-accelerator-en" TargetMode="External" Id="rId19"/><Relationship Type="http://schemas.openxmlformats.org/officeDocument/2006/relationships/hyperlink" Target="https://www.cleantechopen.org/en/page/2026-cto-accelerator-en" TargetMode="External" Id="rId20"/><Relationship Type="http://schemas.openxmlformats.org/officeDocument/2006/relationships/hyperlink" Target="https://research.njit.edu/industry" TargetMode="External" Id="rId21"/><Relationship Type="http://schemas.openxmlformats.org/officeDocument/2006/relationships/hyperlink" Target="https://research.njit.edu/forindustry" TargetMode="External" Id="rId22"/><Relationship Type="http://schemas.openxmlformats.org/officeDocument/2006/relationships/hyperlink" Target="https://www.digitaltwinconsortium.org/contact-us/" TargetMode="External" Id="rId23"/><Relationship Type="http://schemas.openxmlformats.org/officeDocument/2006/relationships/hyperlink" Target="https://www.digitaltwinconsortium.org/dtcmembersearch/" TargetMode="External" Id="rId24"/><Relationship Type="http://schemas.openxmlformats.org/officeDocument/2006/relationships/hyperlink" Target="https://www.njcsit.gov/clean-tech-research-and-development-rd-voucher-program-round-3/" TargetMode="External" Id="rId25"/><Relationship Type="http://schemas.openxmlformats.org/officeDocument/2006/relationships/hyperlink" Target="https://www.njcsit.gov/clean-tech-research-and-development-rd-voucher-program-round-3/" TargetMode="External" Id="rId26"/><Relationship Type="http://schemas.openxmlformats.org/officeDocument/2006/relationships/hyperlink" Target="https://www.njcsit.gov/" TargetMode="External" Id="rId27"/><Relationship Type="http://schemas.openxmlformats.org/officeDocument/2006/relationships/hyperlink" Target="https://www.njeda.gov/wp-content/uploads/2025/06/NJEDA-Clean-Energy-Newsletter-Q2-2025.pdf" TargetMode="External" Id="rId28"/><Relationship Type="http://schemas.openxmlformats.org/officeDocument/2006/relationships/hyperlink" Target="https://seedfund.nsf.gov/apply/" TargetMode="External" Id="rId29"/><Relationship Type="http://schemas.openxmlformats.org/officeDocument/2006/relationships/hyperlink" Target="https://seedfund.nsf.gov/solicitation-eligibility/" TargetMode="External" Id="rId30"/><Relationship Type="http://schemas.openxmlformats.org/officeDocument/2006/relationships/hyperlink" Target="https://www.energy.gov/technologycommercialization/doe-small-business-innovation-research-sbir-and-small-business" TargetMode="External" Id="rId31"/><Relationship Type="http://schemas.openxmlformats.org/officeDocument/2006/relationships/hyperlink" Target="https://www.energy.gov/technologycommercialization/doe-small-business-innovation-research-sbir-and-small-business" TargetMode="External" Id="rId32"/><Relationship Type="http://schemas.openxmlformats.org/officeDocument/2006/relationships/hyperlink" Target="https://sustainability.aboutamazon.com/sustainability-accelerator-climate-tech" TargetMode="External" Id="rId33"/><Relationship Type="http://schemas.openxmlformats.org/officeDocument/2006/relationships/hyperlink" Target="https://www.aboutamazon.eu/news/sustainability/sustainability-accelerator-climate-tech-programme-2026" TargetMode="External" Id="rId34"/><Relationship Type="http://schemas.openxmlformats.org/officeDocument/2006/relationships/hyperlink" Target="https://www.vistaequitypartners.com/contact/" TargetMode="External" Id="rId35"/><Relationship Type="http://schemas.openxmlformats.org/officeDocument/2006/relationships/hyperlink" Target="https://www.vistaequitypartners.com/private-equity/" TargetMode="External" Id="rId36"/><Relationship Type="http://schemas.openxmlformats.org/officeDocument/2006/relationships/hyperlink" Target="https://mbrif.ae/faq-2/" TargetMode="External" Id="rId37"/><Relationship Type="http://schemas.openxmlformats.org/officeDocument/2006/relationships/hyperlink" Target="https://mbrif.ae/faq-2/" TargetMode="External" Id="rId38"/><Relationship Type="http://schemas.openxmlformats.org/officeDocument/2006/relationships/hyperlink" Target="https://emiratesgbc.org/contact-us/" TargetMode="External" Id="rId39"/><Relationship Type="http://schemas.openxmlformats.org/officeDocument/2006/relationships/hyperlink" Target="https://emiratesgbc.org/energy-efficiency-program/" TargetMode="External" Id="rId40"/><Relationship Type="http://schemas.openxmlformats.org/officeDocument/2006/relationships/hyperlink" Target="https://startad.ae/contact/" TargetMode="External" Id="rId41"/><Relationship Type="http://schemas.openxmlformats.org/officeDocument/2006/relationships/hyperlink" Target="https://startad.ae/programs/" TargetMode="External" Id="rId42"/><Relationship Type="http://schemas.openxmlformats.org/officeDocument/2006/relationships/hyperlink" Target="https://www.hub71.com/program/access-programme/apply" TargetMode="External" Id="rId43"/><Relationship Type="http://schemas.openxmlformats.org/officeDocument/2006/relationships/hyperlink" Target="https://www.hub71.com/program/access-programme/apply" TargetMode="External" Id="rId44"/><Relationship Type="http://schemas.openxmlformats.org/officeDocument/2006/relationships/hyperlink" Target="https://www.shorooq.com/locations" TargetMode="External" Id="rId45"/><Relationship Type="http://schemas.openxmlformats.org/officeDocument/2006/relationships/hyperlink" Target="https://www.shorooq.com/what-we-do/equity-venture-capital" TargetMode="External" Id="rId46"/><Relationship Type="http://schemas.openxmlformats.org/officeDocument/2006/relationships/hyperlink" Target="https://www.dubaifuture.ae/initiatives/future-design-and-acceleration/dubai-future-accelerators/" TargetMode="External" Id="rId47"/><Relationship Type="http://schemas.openxmlformats.org/officeDocument/2006/relationships/hyperlink" Target="https://www.dubaifuture.ae/initiatives/future-design-and-acceleration/dubai-future-accelerators/" TargetMode="External" Id="rId48"/><Relationship Type="http://schemas.openxmlformats.org/officeDocument/2006/relationships/hyperlink" Target="https://etihadesco.ae/contacts/" TargetMode="External" Id="rId49"/><Relationship Type="http://schemas.openxmlformats.org/officeDocument/2006/relationships/hyperlink" Target="https://etihadesco.ae/" TargetMode="External" Id="rId50"/><Relationship Type="http://schemas.openxmlformats.org/officeDocument/2006/relationships/hyperlink" Target="https://www.ku.ac.ae/research-offices/technology-management-innovation/commercial-agreements" TargetMode="External" Id="rId51"/><Relationship Type="http://schemas.openxmlformats.org/officeDocument/2006/relationships/hyperlink" Target="https://www.ku.ac.ae/research/research-administration/" TargetMode="External" Id="rId52"/><Relationship Type="http://schemas.openxmlformats.org/officeDocument/2006/relationships/hyperlink" Target="https://dtec.ae/programs/" TargetMode="External" Id="rId53"/><Relationship Type="http://schemas.openxmlformats.org/officeDocument/2006/relationships/hyperlink" Target="https://dtec.ae/programs/" TargetMode="External" Id="rId54"/><Relationship Type="http://schemas.openxmlformats.org/officeDocument/2006/relationships/hyperlink" Target="https://mbzuai.ac.ae/innovation-partnerships/incubation-entrepreneurship-center" TargetMode="External" Id="rId55"/><Relationship Type="http://schemas.openxmlformats.org/officeDocument/2006/relationships/hyperlink" Target="https://mbzuai.ac.ae/innovation-partnerships/incubation-entrepreneurship-center" TargetMode="External" Id="rId56"/><Relationship Type="http://schemas.openxmlformats.org/officeDocument/2006/relationships/hyperlink" Target="https://wamdacapital.com/contact-us/" TargetMode="External" Id="rId57"/><Relationship Type="http://schemas.openxmlformats.org/officeDocument/2006/relationships/hyperlink" Target="https://www.wamda.com/about" TargetMode="External" Id="rId58"/><Relationship Type="http://schemas.openxmlformats.org/officeDocument/2006/relationships/hyperlink" Target="https://www.gulfcapital.com/contact-us" TargetMode="External" Id="rId59"/><Relationship Type="http://schemas.openxmlformats.org/officeDocument/2006/relationships/hyperlink" Target="https://www.gulfcapital.com/the-firm" TargetMode="External" Id="rId60"/><Relationship Type="http://schemas.openxmlformats.org/officeDocument/2006/relationships/hyperlink" Target="https://www.ntu.edu.sg/erian/industry-partners" TargetMode="External" Id="rId61"/><Relationship Type="http://schemas.openxmlformats.org/officeDocument/2006/relationships/hyperlink" Target="https://www.ntu.edu.sg/erian/industry-partners" TargetMode="External" Id="rId62"/><Relationship Type="http://schemas.openxmlformats.org/officeDocument/2006/relationships/hyperlink" Target="https://www.a-star.edu.sg/artc/contact-us" TargetMode="External" Id="rId63"/><Relationship Type="http://schemas.openxmlformats.org/officeDocument/2006/relationships/hyperlink" Target="https://www.a-star.edu.sg/artc/" TargetMode="External" Id="rId64"/><Relationship Type="http://schemas.openxmlformats.org/officeDocument/2006/relationships/hyperlink" Target="https://wavemaker.vc/contact-us/" TargetMode="External" Id="rId65"/><Relationship Type="http://schemas.openxmlformats.org/officeDocument/2006/relationships/hyperlink" Target="https://wavemaker.vc/our-investment-thesis/" TargetMode="External" Id="rId66"/><Relationship Type="http://schemas.openxmlformats.org/officeDocument/2006/relationships/hyperlink" Target="https://www1.bca.gov.sg/sustainability/green-buildings-innovation-cluster-gbic-programme/" TargetMode="External" Id="rId67"/><Relationship Type="http://schemas.openxmlformats.org/officeDocument/2006/relationships/hyperlink" Target="https://www1.bca.gov.sg/sustainability/green-buildings-innovation-cluster-gbic-programme/" TargetMode="External" Id="rId68"/><Relationship Type="http://schemas.openxmlformats.org/officeDocument/2006/relationships/hyperlink" Target="https://www.sutd.edu.sg/contact-us/contact-sutd/" TargetMode="External" Id="rId69"/><Relationship Type="http://schemas.openxmlformats.org/officeDocument/2006/relationships/hyperlink" Target="https://www.sutd.edu.sg/about/partnering-with-sutd/" TargetMode="External" Id="rId70"/><Relationship Type="http://schemas.openxmlformats.org/officeDocument/2006/relationships/hyperlink" Target="https://nus.edu.sg/research/odprt-home/research-concierge" TargetMode="External" Id="rId71"/><Relationship Type="http://schemas.openxmlformats.org/officeDocument/2006/relationships/hyperlink" Target="https://nus.edu.sg/research/odprt-home/research-concierge" TargetMode="External" Id="rId72"/><Relationship Type="http://schemas.openxmlformats.org/officeDocument/2006/relationships/hyperlink" Target="https://www.sgbc.sg/contact-us/" TargetMode="External" Id="rId73"/><Relationship Type="http://schemas.openxmlformats.org/officeDocument/2006/relationships/hyperlink" Target="https://www.sgbc.sg/membership/about-sgbc-membership/" TargetMode="External" Id="rId74"/><Relationship Type="http://schemas.openxmlformats.org/officeDocument/2006/relationships/hyperlink" Target="https://www.sginnovate.com/contact-us" TargetMode="External" Id="rId75"/><Relationship Type="http://schemas.openxmlformats.org/officeDocument/2006/relationships/hyperlink" Target="https://www.sginnovate.com/our-approach" TargetMode="External" Id="rId76"/><Relationship Type="http://schemas.openxmlformats.org/officeDocument/2006/relationships/hyperlink" Target="https://www.seedscapital.sg/" TargetMode="External" Id="rId77"/><Relationship Type="http://schemas.openxmlformats.org/officeDocument/2006/relationships/hyperlink" Target="https://www.seedscapital.sg/about-us/our-co-investment-model/" TargetMode="External" Id="rId78"/><Relationship Type="http://schemas.openxmlformats.org/officeDocument/2006/relationships/hyperlink" Target="https://www.startupsg.gov.sg/programmes/" TargetMode="External" Id="rId79"/><Relationship Type="http://schemas.openxmlformats.org/officeDocument/2006/relationships/hyperlink" Target="https://www.edb.gov.sg/en/business-insights/insights/partners-programmes-to-accelerate-your-startup-s-trajectory-in-singapore.html" TargetMode="External" Id="rId80"/><Relationship Type="http://schemas.openxmlformats.org/officeDocument/2006/relationships/hyperlink" Target="https://www.naviscapital.com/contact-us/" TargetMode="External" Id="rId81"/><Relationship Type="http://schemas.openxmlformats.org/officeDocument/2006/relationships/hyperlink" Target="https://www.naviscapital.com/private-equity/the-navis-approach/" TargetMode="External" Id="rId82"/><Relationship Type="http://schemas.openxmlformats.org/officeDocument/2006/relationships/hyperlink" Target="https://respark.iitm.ac.in/energy-sustainability" TargetMode="External" Id="rId83"/><Relationship Type="http://schemas.openxmlformats.org/officeDocument/2006/relationships/hyperlink" Target="https://respark.iitm.ac.in/energy-sustainability" TargetMode="External" Id="rId84"/><Relationship Type="http://schemas.openxmlformats.org/officeDocument/2006/relationships/hyperlink" Target="https://respark.iitm.ac.in/startups" TargetMode="External" Id="rId85"/><Relationship Type="http://schemas.openxmlformats.org/officeDocument/2006/relationships/hyperlink" Target="https://www.iitm.ac.in/research-park/incubation-cell" TargetMode="External" Id="rId86"/><Relationship Type="http://schemas.openxmlformats.org/officeDocument/2006/relationships/hyperlink" Target="https://startupharyana.gov.in/front/incubator/dbeab2eb-1777-4119-b5b1-5affdef89a10" TargetMode="External" Id="rId87"/><Relationship Type="http://schemas.openxmlformats.org/officeDocument/2006/relationships/hyperlink" Target="https://startupharyana.gov.in/front/incubator/dbeab2eb-1777-4119-b5b1-5affdef89a10" TargetMode="External" Id="rId88"/><Relationship Type="http://schemas.openxmlformats.org/officeDocument/2006/relationships/hyperlink" Target="https://www.igbc.in/contact-us" TargetMode="External" Id="rId89"/><Relationship Type="http://schemas.openxmlformats.org/officeDocument/2006/relationships/hyperlink" Target="https://www.igbc.in/organisational-membership" TargetMode="External" Id="rId90"/><Relationship Type="http://schemas.openxmlformats.org/officeDocument/2006/relationships/hyperlink" Target="https://www.transitionventurecapital.com/contact" TargetMode="External" Id="rId91"/><Relationship Type="http://schemas.openxmlformats.org/officeDocument/2006/relationships/hyperlink" Target="https://www.transitionventurecapital.com/" TargetMode="External" Id="rId92"/><Relationship Type="http://schemas.openxmlformats.org/officeDocument/2006/relationships/hyperlink" Target="https://www.beeindia.gov.in/show_content.php?lang=1&amp;level=2&amp;lid=419&amp;ls_id=344" TargetMode="External" Id="rId93"/><Relationship Type="http://schemas.openxmlformats.org/officeDocument/2006/relationships/hyperlink" Target="https://www.beeindia.gov.in/show_content.php?lang=1&amp;level=2&amp;lid=419&amp;ls_id=344" TargetMode="External" Id="rId94"/><Relationship Type="http://schemas.openxmlformats.org/officeDocument/2006/relationships/hyperlink" Target="https://www.specialeinvest.com/contact" TargetMode="External" Id="rId95"/><Relationship Type="http://schemas.openxmlformats.org/officeDocument/2006/relationships/hyperlink" Target="https://www.specialeinvest.com/about" TargetMode="External" Id="rId96"/><Relationship Type="http://schemas.openxmlformats.org/officeDocument/2006/relationships/hyperlink" Target="https://www.anicutcapital.com/contact/" TargetMode="External" Id="rId97"/><Relationship Type="http://schemas.openxmlformats.org/officeDocument/2006/relationships/hyperlink" Target="https://www.anicutcapital.com/seed/" TargetMode="External" Id="rId98"/><Relationship Type="http://schemas.openxmlformats.org/officeDocument/2006/relationships/hyperlink" Target="https://startuptn.in/" TargetMode="External" Id="rId99"/><Relationship Type="http://schemas.openxmlformats.org/officeDocument/2006/relationships/hyperlink" Target="https://www.startupindia.gov.in/srf/portal/SRF_2022_Result_page/Tamil_Nadu.pdf" TargetMode="External" Id="rId100"/><Relationship Type="http://schemas.openxmlformats.org/officeDocument/2006/relationships/hyperlink" Target="https://seedfund.startupindia.gov.in/faq" TargetMode="External" Id="rId101"/><Relationship Type="http://schemas.openxmlformats.org/officeDocument/2006/relationships/hyperlink" Target="https://seedfund.startupindia.gov.in/about" TargetMode="External" Id="rId102"/><Relationship Type="http://schemas.openxmlformats.org/officeDocument/2006/relationships/hyperlink" Target="https://everstonecapital.com/contact/" TargetMode="External" Id="rId103"/><Relationship Type="http://schemas.openxmlformats.org/officeDocument/2006/relationships/hyperlink" Target="https://everstonecapital.com/" TargetMode="External" Id="rId104"/><Relationship Type="http://schemas.openxmlformats.org/officeDocument/2006/relationships/table" Target="/xl/tables/table3.xml" Id="rId105"/></Relationships>
</file>

<file path=xl/worksheets/_rels/sheet4.xml.rels><Relationships xmlns="http://schemas.openxmlformats.org/package/2006/relationships"><Relationship Type="http://schemas.openxmlformats.org/officeDocument/2006/relationships/hyperlink" Target="https://aws.amazon.com/startups/credits/" TargetMode="External" Id="rId1"/><Relationship Type="http://schemas.openxmlformats.org/officeDocument/2006/relationships/hyperlink" Target="https://aws.amazon.com/startups/credits/" TargetMode="External" Id="rId2"/><Relationship Type="http://schemas.openxmlformats.org/officeDocument/2006/relationships/hyperlink" Target="https://thecompanylab.org/accelerator/energy-innovation/" TargetMode="External" Id="rId3"/><Relationship Type="http://schemas.openxmlformats.org/officeDocument/2006/relationships/hyperlink" Target="https://thecompanylab.org/accelerator/energy-innovation/" TargetMode="External" Id="rId4"/><Relationship Type="http://schemas.openxmlformats.org/officeDocument/2006/relationships/hyperlink" Target="https://ecocomplex.rutgers.edu/contact.html" TargetMode="External" Id="rId5"/><Relationship Type="http://schemas.openxmlformats.org/officeDocument/2006/relationships/hyperlink" Target="https://ecocomplex.rutgers.edu/incubator-businesses.html" TargetMode="External" Id="rId6"/><Relationship Type="http://schemas.openxmlformats.org/officeDocument/2006/relationships/hyperlink" Target="https://www.ahla.com/htng/communities-of-interest-artificial-intelligence" TargetMode="External" Id="rId7"/><Relationship Type="http://schemas.openxmlformats.org/officeDocument/2006/relationships/hyperlink" Target="https://www.ahla.com/htng/communities-of-interest-artificial-intelligence" TargetMode="External" Id="rId8"/><Relationship Type="http://schemas.openxmlformats.org/officeDocument/2006/relationships/hyperlink" Target="https://mybizenergy.pseg.com/energy-management-program" TargetMode="External" Id="rId9"/><Relationship Type="http://schemas.openxmlformats.org/officeDocument/2006/relationships/hyperlink" Target="https://bizsaveportal.pseg.com/TradeAlly/TradeAllyApplication/Begin" TargetMode="External" Id="rId10"/><Relationship Type="http://schemas.openxmlformats.org/officeDocument/2006/relationships/hyperlink" Target="https://www.third-derivative.org/startups" TargetMode="External" Id="rId11"/><Relationship Type="http://schemas.openxmlformats.org/officeDocument/2006/relationships/hyperlink" Target="https://www.third-derivative.org/startups" TargetMode="External" Id="rId12"/><Relationship Type="http://schemas.openxmlformats.org/officeDocument/2006/relationships/hyperlink" Target="https://cevg.com/apply/" TargetMode="External" Id="rId13"/><Relationship Type="http://schemas.openxmlformats.org/officeDocument/2006/relationships/hyperlink" Target="https://cleanenergyventures.com/working-with-us" TargetMode="External" Id="rId14"/><Relationship Type="http://schemas.openxmlformats.org/officeDocument/2006/relationships/hyperlink" Target="https://www.congruentvc.com/thinking" TargetMode="External" Id="rId15"/><Relationship Type="http://schemas.openxmlformats.org/officeDocument/2006/relationships/hyperlink" Target="https://www.congruentvc.com/" TargetMode="External" Id="rId16"/><Relationship Type="http://schemas.openxmlformats.org/officeDocument/2006/relationships/hyperlink" Target="https://elementalimpact.com/funding-opportunities/apply/" TargetMode="External" Id="rId17"/><Relationship Type="http://schemas.openxmlformats.org/officeDocument/2006/relationships/hyperlink" Target="https://elementalimpact.com/funding-opportunities/apply/" TargetMode="External" Id="rId18"/><Relationship Type="http://schemas.openxmlformats.org/officeDocument/2006/relationships/hyperlink" Target="https://www.cleantechopen.org/en/page/2026-cto-accelerator-en" TargetMode="External" Id="rId19"/><Relationship Type="http://schemas.openxmlformats.org/officeDocument/2006/relationships/hyperlink" Target="https://www.cleantechopen.org/en/page/2026-cto-accelerator-en" TargetMode="External" Id="rId20"/><Relationship Type="http://schemas.openxmlformats.org/officeDocument/2006/relationships/hyperlink" Target="https://research.njit.edu/industry" TargetMode="External" Id="rId21"/><Relationship Type="http://schemas.openxmlformats.org/officeDocument/2006/relationships/hyperlink" Target="https://research.njit.edu/forindustry" TargetMode="External" Id="rId22"/><Relationship Type="http://schemas.openxmlformats.org/officeDocument/2006/relationships/hyperlink" Target="https://www.digitaltwinconsortium.org/contact-us/" TargetMode="External" Id="rId23"/><Relationship Type="http://schemas.openxmlformats.org/officeDocument/2006/relationships/hyperlink" Target="https://www.digitaltwinconsortium.org/dtcmembersearch/" TargetMode="External" Id="rId24"/><Relationship Type="http://schemas.openxmlformats.org/officeDocument/2006/relationships/hyperlink" Target="https://www.njcsit.gov/clean-tech-research-and-development-rd-voucher-program-round-3/" TargetMode="External" Id="rId25"/><Relationship Type="http://schemas.openxmlformats.org/officeDocument/2006/relationships/hyperlink" Target="https://www.njcsit.gov/clean-tech-research-and-development-rd-voucher-program-round-3/" TargetMode="External" Id="rId26"/><Relationship Type="http://schemas.openxmlformats.org/officeDocument/2006/relationships/hyperlink" Target="https://www.njcsit.gov/" TargetMode="External" Id="rId27"/><Relationship Type="http://schemas.openxmlformats.org/officeDocument/2006/relationships/hyperlink" Target="https://www.njeda.gov/wp-content/uploads/2025/06/NJEDA-Clean-Energy-Newsletter-Q2-2025.pdf" TargetMode="External" Id="rId28"/><Relationship Type="http://schemas.openxmlformats.org/officeDocument/2006/relationships/hyperlink" Target="https://seedfund.nsf.gov/apply/" TargetMode="External" Id="rId29"/><Relationship Type="http://schemas.openxmlformats.org/officeDocument/2006/relationships/hyperlink" Target="https://seedfund.nsf.gov/solicitation-eligibility/" TargetMode="External" Id="rId30"/><Relationship Type="http://schemas.openxmlformats.org/officeDocument/2006/relationships/hyperlink" Target="https://www.energy.gov/technologycommercialization/doe-small-business-innovation-research-sbir-and-small-business" TargetMode="External" Id="rId31"/><Relationship Type="http://schemas.openxmlformats.org/officeDocument/2006/relationships/hyperlink" Target="https://www.energy.gov/technologycommercialization/doe-small-business-innovation-research-sbir-and-small-business" TargetMode="External" Id="rId32"/><Relationship Type="http://schemas.openxmlformats.org/officeDocument/2006/relationships/hyperlink" Target="https://sustainability.aboutamazon.com/sustainability-accelerator-climate-tech" TargetMode="External" Id="rId33"/><Relationship Type="http://schemas.openxmlformats.org/officeDocument/2006/relationships/hyperlink" Target="https://www.aboutamazon.eu/news/sustainability/sustainability-accelerator-climate-tech-programme-2026" TargetMode="External" Id="rId34"/><Relationship Type="http://schemas.openxmlformats.org/officeDocument/2006/relationships/hyperlink" Target="https://www.vistaequitypartners.com/contact/" TargetMode="External" Id="rId35"/><Relationship Type="http://schemas.openxmlformats.org/officeDocument/2006/relationships/hyperlink" Target="https://www.vistaequitypartners.com/private-equity/" TargetMode="External" Id="rId36"/><Relationship Type="http://schemas.openxmlformats.org/officeDocument/2006/relationships/table" Target="/xl/tables/table4.xml" Id="rId37"/></Relationships>
</file>

<file path=xl/worksheets/_rels/sheet5.xml.rels><Relationships xmlns="http://schemas.openxmlformats.org/package/2006/relationships"><Relationship Type="http://schemas.openxmlformats.org/officeDocument/2006/relationships/hyperlink" Target="https://mbrif.ae/faq-2/" TargetMode="External" Id="rId1"/><Relationship Type="http://schemas.openxmlformats.org/officeDocument/2006/relationships/hyperlink" Target="https://mbrif.ae/faq-2/" TargetMode="External" Id="rId2"/><Relationship Type="http://schemas.openxmlformats.org/officeDocument/2006/relationships/hyperlink" Target="https://emiratesgbc.org/contact-us/" TargetMode="External" Id="rId3"/><Relationship Type="http://schemas.openxmlformats.org/officeDocument/2006/relationships/hyperlink" Target="https://emiratesgbc.org/energy-efficiency-program/" TargetMode="External" Id="rId4"/><Relationship Type="http://schemas.openxmlformats.org/officeDocument/2006/relationships/hyperlink" Target="https://startad.ae/contact/" TargetMode="External" Id="rId5"/><Relationship Type="http://schemas.openxmlformats.org/officeDocument/2006/relationships/hyperlink" Target="https://startad.ae/programs/" TargetMode="External" Id="rId6"/><Relationship Type="http://schemas.openxmlformats.org/officeDocument/2006/relationships/hyperlink" Target="https://www.hub71.com/program/access-programme/apply" TargetMode="External" Id="rId7"/><Relationship Type="http://schemas.openxmlformats.org/officeDocument/2006/relationships/hyperlink" Target="https://www.hub71.com/program/access-programme/apply" TargetMode="External" Id="rId8"/><Relationship Type="http://schemas.openxmlformats.org/officeDocument/2006/relationships/hyperlink" Target="https://www.shorooq.com/locations" TargetMode="External" Id="rId9"/><Relationship Type="http://schemas.openxmlformats.org/officeDocument/2006/relationships/hyperlink" Target="https://www.shorooq.com/what-we-do/equity-venture-capital" TargetMode="External" Id="rId10"/><Relationship Type="http://schemas.openxmlformats.org/officeDocument/2006/relationships/hyperlink" Target="https://www.dubaifuture.ae/initiatives/future-design-and-acceleration/dubai-future-accelerators/" TargetMode="External" Id="rId11"/><Relationship Type="http://schemas.openxmlformats.org/officeDocument/2006/relationships/hyperlink" Target="https://www.dubaifuture.ae/initiatives/future-design-and-acceleration/dubai-future-accelerators/" TargetMode="External" Id="rId12"/><Relationship Type="http://schemas.openxmlformats.org/officeDocument/2006/relationships/hyperlink" Target="https://etihadesco.ae/contacts/" TargetMode="External" Id="rId13"/><Relationship Type="http://schemas.openxmlformats.org/officeDocument/2006/relationships/hyperlink" Target="https://etihadesco.ae/" TargetMode="External" Id="rId14"/><Relationship Type="http://schemas.openxmlformats.org/officeDocument/2006/relationships/hyperlink" Target="https://www.ku.ac.ae/research-offices/technology-management-innovation/commercial-agreements" TargetMode="External" Id="rId15"/><Relationship Type="http://schemas.openxmlformats.org/officeDocument/2006/relationships/hyperlink" Target="https://www.ku.ac.ae/research/research-administration/" TargetMode="External" Id="rId16"/><Relationship Type="http://schemas.openxmlformats.org/officeDocument/2006/relationships/hyperlink" Target="https://dtec.ae/programs/" TargetMode="External" Id="rId17"/><Relationship Type="http://schemas.openxmlformats.org/officeDocument/2006/relationships/hyperlink" Target="https://dtec.ae/programs/" TargetMode="External" Id="rId18"/><Relationship Type="http://schemas.openxmlformats.org/officeDocument/2006/relationships/hyperlink" Target="https://mbzuai.ac.ae/innovation-partnerships/incubation-entrepreneurship-center" TargetMode="External" Id="rId19"/><Relationship Type="http://schemas.openxmlformats.org/officeDocument/2006/relationships/hyperlink" Target="https://mbzuai.ac.ae/innovation-partnerships/incubation-entrepreneurship-center" TargetMode="External" Id="rId20"/><Relationship Type="http://schemas.openxmlformats.org/officeDocument/2006/relationships/hyperlink" Target="https://wamdacapital.com/contact-us/" TargetMode="External" Id="rId21"/><Relationship Type="http://schemas.openxmlformats.org/officeDocument/2006/relationships/hyperlink" Target="https://www.wamda.com/about" TargetMode="External" Id="rId22"/><Relationship Type="http://schemas.openxmlformats.org/officeDocument/2006/relationships/hyperlink" Target="https://www.gulfcapital.com/contact-us" TargetMode="External" Id="rId23"/><Relationship Type="http://schemas.openxmlformats.org/officeDocument/2006/relationships/hyperlink" Target="https://www.gulfcapital.com/the-firm" TargetMode="External" Id="rId24"/><Relationship Type="http://schemas.openxmlformats.org/officeDocument/2006/relationships/table" Target="/xl/tables/table5.xml" Id="rId2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ntu.edu.sg/erian/industry-partners" TargetMode="External" Id="rId1"/><Relationship Type="http://schemas.openxmlformats.org/officeDocument/2006/relationships/hyperlink" Target="https://www.ntu.edu.sg/erian/industry-partners" TargetMode="External" Id="rId2"/><Relationship Type="http://schemas.openxmlformats.org/officeDocument/2006/relationships/hyperlink" Target="https://www.a-star.edu.sg/artc/contact-us" TargetMode="External" Id="rId3"/><Relationship Type="http://schemas.openxmlformats.org/officeDocument/2006/relationships/hyperlink" Target="https://www.a-star.edu.sg/artc/" TargetMode="External" Id="rId4"/><Relationship Type="http://schemas.openxmlformats.org/officeDocument/2006/relationships/hyperlink" Target="https://wavemaker.vc/contact-us/" TargetMode="External" Id="rId5"/><Relationship Type="http://schemas.openxmlformats.org/officeDocument/2006/relationships/hyperlink" Target="https://wavemaker.vc/our-investment-thesis/" TargetMode="External" Id="rId6"/><Relationship Type="http://schemas.openxmlformats.org/officeDocument/2006/relationships/hyperlink" Target="https://www1.bca.gov.sg/sustainability/green-buildings-innovation-cluster-gbic-programme/" TargetMode="External" Id="rId7"/><Relationship Type="http://schemas.openxmlformats.org/officeDocument/2006/relationships/hyperlink" Target="https://www1.bca.gov.sg/sustainability/green-buildings-innovation-cluster-gbic-programme/" TargetMode="External" Id="rId8"/><Relationship Type="http://schemas.openxmlformats.org/officeDocument/2006/relationships/hyperlink" Target="https://www.sutd.edu.sg/contact-us/contact-sutd/" TargetMode="External" Id="rId9"/><Relationship Type="http://schemas.openxmlformats.org/officeDocument/2006/relationships/hyperlink" Target="https://www.sutd.edu.sg/about/partnering-with-sutd/" TargetMode="External" Id="rId10"/><Relationship Type="http://schemas.openxmlformats.org/officeDocument/2006/relationships/hyperlink" Target="https://nus.edu.sg/research/odprt-home/research-concierge" TargetMode="External" Id="rId11"/><Relationship Type="http://schemas.openxmlformats.org/officeDocument/2006/relationships/hyperlink" Target="https://nus.edu.sg/research/odprt-home/research-concierge" TargetMode="External" Id="rId12"/><Relationship Type="http://schemas.openxmlformats.org/officeDocument/2006/relationships/hyperlink" Target="https://www.sgbc.sg/contact-us/" TargetMode="External" Id="rId13"/><Relationship Type="http://schemas.openxmlformats.org/officeDocument/2006/relationships/hyperlink" Target="https://www.sgbc.sg/membership/about-sgbc-membership/" TargetMode="External" Id="rId14"/><Relationship Type="http://schemas.openxmlformats.org/officeDocument/2006/relationships/hyperlink" Target="https://www.sginnovate.com/contact-us" TargetMode="External" Id="rId15"/><Relationship Type="http://schemas.openxmlformats.org/officeDocument/2006/relationships/hyperlink" Target="https://www.sginnovate.com/our-approach" TargetMode="External" Id="rId16"/><Relationship Type="http://schemas.openxmlformats.org/officeDocument/2006/relationships/hyperlink" Target="https://www.seedscapital.sg/" TargetMode="External" Id="rId17"/><Relationship Type="http://schemas.openxmlformats.org/officeDocument/2006/relationships/hyperlink" Target="https://www.seedscapital.sg/about-us/our-co-investment-model/" TargetMode="External" Id="rId18"/><Relationship Type="http://schemas.openxmlformats.org/officeDocument/2006/relationships/hyperlink" Target="https://www.startupsg.gov.sg/programmes/" TargetMode="External" Id="rId19"/><Relationship Type="http://schemas.openxmlformats.org/officeDocument/2006/relationships/hyperlink" Target="https://www.edb.gov.sg/en/business-insights/insights/partners-programmes-to-accelerate-your-startup-s-trajectory-in-singapore.html" TargetMode="External" Id="rId20"/><Relationship Type="http://schemas.openxmlformats.org/officeDocument/2006/relationships/hyperlink" Target="https://www.naviscapital.com/contact-us/" TargetMode="External" Id="rId21"/><Relationship Type="http://schemas.openxmlformats.org/officeDocument/2006/relationships/hyperlink" Target="https://www.naviscapital.com/private-equity/the-navis-approach/" TargetMode="External" Id="rId22"/><Relationship Type="http://schemas.openxmlformats.org/officeDocument/2006/relationships/table" Target="/xl/tables/table6.xml" Id="rId23"/></Relationships>
</file>

<file path=xl/worksheets/_rels/sheet7.xml.rels><Relationships xmlns="http://schemas.openxmlformats.org/package/2006/relationships"><Relationship Type="http://schemas.openxmlformats.org/officeDocument/2006/relationships/hyperlink" Target="https://respark.iitm.ac.in/energy-sustainability" TargetMode="External" Id="rId1"/><Relationship Type="http://schemas.openxmlformats.org/officeDocument/2006/relationships/hyperlink" Target="https://respark.iitm.ac.in/energy-sustainability" TargetMode="External" Id="rId2"/><Relationship Type="http://schemas.openxmlformats.org/officeDocument/2006/relationships/hyperlink" Target="https://respark.iitm.ac.in/startups" TargetMode="External" Id="rId3"/><Relationship Type="http://schemas.openxmlformats.org/officeDocument/2006/relationships/hyperlink" Target="https://www.iitm.ac.in/research-park/incubation-cell" TargetMode="External" Id="rId4"/><Relationship Type="http://schemas.openxmlformats.org/officeDocument/2006/relationships/hyperlink" Target="https://startupharyana.gov.in/front/incubator/dbeab2eb-1777-4119-b5b1-5affdef89a10" TargetMode="External" Id="rId5"/><Relationship Type="http://schemas.openxmlformats.org/officeDocument/2006/relationships/hyperlink" Target="https://startupharyana.gov.in/front/incubator/dbeab2eb-1777-4119-b5b1-5affdef89a10" TargetMode="External" Id="rId6"/><Relationship Type="http://schemas.openxmlformats.org/officeDocument/2006/relationships/hyperlink" Target="https://www.igbc.in/contact-us" TargetMode="External" Id="rId7"/><Relationship Type="http://schemas.openxmlformats.org/officeDocument/2006/relationships/hyperlink" Target="https://www.igbc.in/organisational-membership" TargetMode="External" Id="rId8"/><Relationship Type="http://schemas.openxmlformats.org/officeDocument/2006/relationships/hyperlink" Target="https://www.transitionventurecapital.com/contact" TargetMode="External" Id="rId9"/><Relationship Type="http://schemas.openxmlformats.org/officeDocument/2006/relationships/hyperlink" Target="https://www.transitionventurecapital.com/" TargetMode="External" Id="rId10"/><Relationship Type="http://schemas.openxmlformats.org/officeDocument/2006/relationships/hyperlink" Target="https://www.beeindia.gov.in/show_content.php?lang=1&amp;level=2&amp;lid=419&amp;ls_id=344" TargetMode="External" Id="rId11"/><Relationship Type="http://schemas.openxmlformats.org/officeDocument/2006/relationships/hyperlink" Target="https://www.beeindia.gov.in/show_content.php?lang=1&amp;level=2&amp;lid=419&amp;ls_id=344" TargetMode="External" Id="rId12"/><Relationship Type="http://schemas.openxmlformats.org/officeDocument/2006/relationships/hyperlink" Target="https://www.specialeinvest.com/contact" TargetMode="External" Id="rId13"/><Relationship Type="http://schemas.openxmlformats.org/officeDocument/2006/relationships/hyperlink" Target="https://www.specialeinvest.com/about" TargetMode="External" Id="rId14"/><Relationship Type="http://schemas.openxmlformats.org/officeDocument/2006/relationships/hyperlink" Target="https://www.anicutcapital.com/contact/" TargetMode="External" Id="rId15"/><Relationship Type="http://schemas.openxmlformats.org/officeDocument/2006/relationships/hyperlink" Target="https://www.anicutcapital.com/seed/" TargetMode="External" Id="rId16"/><Relationship Type="http://schemas.openxmlformats.org/officeDocument/2006/relationships/hyperlink" Target="https://startuptn.in/" TargetMode="External" Id="rId17"/><Relationship Type="http://schemas.openxmlformats.org/officeDocument/2006/relationships/hyperlink" Target="https://www.startupindia.gov.in/srf/portal/SRF_2022_Result_page/Tamil_Nadu.pdf" TargetMode="External" Id="rId18"/><Relationship Type="http://schemas.openxmlformats.org/officeDocument/2006/relationships/hyperlink" Target="https://seedfund.startupindia.gov.in/faq" TargetMode="External" Id="rId19"/><Relationship Type="http://schemas.openxmlformats.org/officeDocument/2006/relationships/hyperlink" Target="https://seedfund.startupindia.gov.in/about" TargetMode="External" Id="rId20"/><Relationship Type="http://schemas.openxmlformats.org/officeDocument/2006/relationships/hyperlink" Target="https://everstonecapital.com/contact/" TargetMode="External" Id="rId21"/><Relationship Type="http://schemas.openxmlformats.org/officeDocument/2006/relationships/hyperlink" Target="https://everstonecapital.com/" TargetMode="External" Id="rId22"/><Relationship Type="http://schemas.openxmlformats.org/officeDocument/2006/relationships/table" Target="/xl/tables/table7.xml" Id="rId23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vistaequitypartners.com/contact/" TargetMode="External" Id="rId1"/><Relationship Type="http://schemas.openxmlformats.org/officeDocument/2006/relationships/hyperlink" Target="https://www.vistaequitypartners.com/private-equity/" TargetMode="External" Id="rId2"/><Relationship Type="http://schemas.openxmlformats.org/officeDocument/2006/relationships/hyperlink" Target="https://www.gulfcapital.com/contact-us" TargetMode="External" Id="rId3"/><Relationship Type="http://schemas.openxmlformats.org/officeDocument/2006/relationships/hyperlink" Target="https://www.gulfcapital.com/the-firm" TargetMode="External" Id="rId4"/><Relationship Type="http://schemas.openxmlformats.org/officeDocument/2006/relationships/hyperlink" Target="https://www.naviscapital.com/contact-us/" TargetMode="External" Id="rId5"/><Relationship Type="http://schemas.openxmlformats.org/officeDocument/2006/relationships/hyperlink" Target="https://www.naviscapital.com/private-equity/the-navis-approach/" TargetMode="External" Id="rId6"/><Relationship Type="http://schemas.openxmlformats.org/officeDocument/2006/relationships/hyperlink" Target="https://everstonecapital.com/contact/" TargetMode="External" Id="rId7"/><Relationship Type="http://schemas.openxmlformats.org/officeDocument/2006/relationships/hyperlink" Target="https://everstonecapital.com/" TargetMode="External" Id="rId8"/><Relationship Type="http://schemas.openxmlformats.org/officeDocument/2006/relationships/table" Target="/xl/tables/table9.xml" Id="rId9"/></Relationships>
</file>

<file path=xl/worksheets/_rels/sheet10.xml.rels><Relationships xmlns="http://schemas.openxmlformats.org/package/2006/relationships"><Relationship Type="http://schemas.openxmlformats.org/officeDocument/2006/relationships/hyperlink" Target="https://aws.amazon.com/startups/credits/" TargetMode="External" Id="rId1"/><Relationship Type="http://schemas.openxmlformats.org/officeDocument/2006/relationships/hyperlink" Target="https://aws.amazon.com/startups/credits/" TargetMode="External" Id="rId2"/><Relationship Type="http://schemas.openxmlformats.org/officeDocument/2006/relationships/hyperlink" Target="https://thecompanylab.org/accelerator/energy-innovation/" TargetMode="External" Id="rId3"/><Relationship Type="http://schemas.openxmlformats.org/officeDocument/2006/relationships/hyperlink" Target="https://thecompanylab.org/accelerator/energy-innovation/" TargetMode="External" Id="rId4"/><Relationship Type="http://schemas.openxmlformats.org/officeDocument/2006/relationships/hyperlink" Target="https://ecocomplex.rutgers.edu/incubator-businesses.html" TargetMode="External" Id="rId5"/><Relationship Type="http://schemas.openxmlformats.org/officeDocument/2006/relationships/hyperlink" Target="https://ecocomplex.rutgers.edu/contact.html" TargetMode="External" Id="rId6"/><Relationship Type="http://schemas.openxmlformats.org/officeDocument/2006/relationships/hyperlink" Target="https://www.ahla.com/htng/communities-of-interest-artificial-intelligence" TargetMode="External" Id="rId7"/><Relationship Type="http://schemas.openxmlformats.org/officeDocument/2006/relationships/hyperlink" Target="https://www.ahla.com/htng/communities-of-interest-artificial-intelligence" TargetMode="External" Id="rId8"/><Relationship Type="http://schemas.openxmlformats.org/officeDocument/2006/relationships/hyperlink" Target="https://bizsaveportal.pseg.com/TradeAlly/TradeAllyApplication/Begin" TargetMode="External" Id="rId9"/><Relationship Type="http://schemas.openxmlformats.org/officeDocument/2006/relationships/hyperlink" Target="https://mybizenergy.pseg.com/energy-management-program" TargetMode="External" Id="rId10"/><Relationship Type="http://schemas.openxmlformats.org/officeDocument/2006/relationships/hyperlink" Target="https://www.third-derivative.org/startups" TargetMode="External" Id="rId11"/><Relationship Type="http://schemas.openxmlformats.org/officeDocument/2006/relationships/hyperlink" Target="https://www.third-derivative.org/startups" TargetMode="External" Id="rId12"/><Relationship Type="http://schemas.openxmlformats.org/officeDocument/2006/relationships/hyperlink" Target="https://cleanenergyventures.com/working-with-us" TargetMode="External" Id="rId13"/><Relationship Type="http://schemas.openxmlformats.org/officeDocument/2006/relationships/hyperlink" Target="https://cevg.com/apply/" TargetMode="External" Id="rId14"/><Relationship Type="http://schemas.openxmlformats.org/officeDocument/2006/relationships/hyperlink" Target="https://www.congruentvc.com/" TargetMode="External" Id="rId15"/><Relationship Type="http://schemas.openxmlformats.org/officeDocument/2006/relationships/hyperlink" Target="https://www.congruentvc.com/thinking" TargetMode="External" Id="rId16"/><Relationship Type="http://schemas.openxmlformats.org/officeDocument/2006/relationships/hyperlink" Target="https://elementalimpact.com/funding-opportunities/apply/" TargetMode="External" Id="rId17"/><Relationship Type="http://schemas.openxmlformats.org/officeDocument/2006/relationships/hyperlink" Target="https://elementalimpact.com/funding-opportunities/apply/" TargetMode="External" Id="rId18"/><Relationship Type="http://schemas.openxmlformats.org/officeDocument/2006/relationships/hyperlink" Target="https://www.cleantechopen.org/en/page/2026-cto-accelerator-en" TargetMode="External" Id="rId19"/><Relationship Type="http://schemas.openxmlformats.org/officeDocument/2006/relationships/hyperlink" Target="https://www.cleantechopen.org/en/page/2026-cto-accelerator-en" TargetMode="External" Id="rId20"/><Relationship Type="http://schemas.openxmlformats.org/officeDocument/2006/relationships/hyperlink" Target="https://research.njit.edu/forindustry" TargetMode="External" Id="rId21"/><Relationship Type="http://schemas.openxmlformats.org/officeDocument/2006/relationships/hyperlink" Target="https://research.njit.edu/industry" TargetMode="External" Id="rId22"/><Relationship Type="http://schemas.openxmlformats.org/officeDocument/2006/relationships/hyperlink" Target="https://www.digitaltwinconsortium.org/dtcmembersearch/" TargetMode="External" Id="rId23"/><Relationship Type="http://schemas.openxmlformats.org/officeDocument/2006/relationships/hyperlink" Target="https://www.digitaltwinconsortium.org/contact-us/" TargetMode="External" Id="rId24"/><Relationship Type="http://schemas.openxmlformats.org/officeDocument/2006/relationships/hyperlink" Target="https://www.njcsit.gov/clean-tech-research-and-development-rd-voucher-program-round-3/" TargetMode="External" Id="rId25"/><Relationship Type="http://schemas.openxmlformats.org/officeDocument/2006/relationships/hyperlink" Target="https://www.njcsit.gov/clean-tech-research-and-development-rd-voucher-program-round-3/" TargetMode="External" Id="rId26"/><Relationship Type="http://schemas.openxmlformats.org/officeDocument/2006/relationships/hyperlink" Target="https://www.njeda.gov/wp-content/uploads/2025/06/NJEDA-Clean-Energy-Newsletter-Q2-2025.pdf" TargetMode="External" Id="rId27"/><Relationship Type="http://schemas.openxmlformats.org/officeDocument/2006/relationships/hyperlink" Target="https://www.njcsit.gov/" TargetMode="External" Id="rId28"/><Relationship Type="http://schemas.openxmlformats.org/officeDocument/2006/relationships/hyperlink" Target="https://seedfund.nsf.gov/solicitation-eligibility/" TargetMode="External" Id="rId29"/><Relationship Type="http://schemas.openxmlformats.org/officeDocument/2006/relationships/hyperlink" Target="https://seedfund.nsf.gov/apply/" TargetMode="External" Id="rId30"/><Relationship Type="http://schemas.openxmlformats.org/officeDocument/2006/relationships/hyperlink" Target="https://www.energy.gov/technologycommercialization/doe-small-business-innovation-research-sbir-and-small-business" TargetMode="External" Id="rId31"/><Relationship Type="http://schemas.openxmlformats.org/officeDocument/2006/relationships/hyperlink" Target="https://www.energy.gov/technologycommercialization/doe-small-business-innovation-research-sbir-and-small-business" TargetMode="External" Id="rId32"/><Relationship Type="http://schemas.openxmlformats.org/officeDocument/2006/relationships/hyperlink" Target="https://www.aboutamazon.eu/news/sustainability/sustainability-accelerator-climate-tech-programme-2026" TargetMode="External" Id="rId33"/><Relationship Type="http://schemas.openxmlformats.org/officeDocument/2006/relationships/hyperlink" Target="https://sustainability.aboutamazon.com/sustainability-accelerator-climate-tech" TargetMode="External" Id="rId34"/><Relationship Type="http://schemas.openxmlformats.org/officeDocument/2006/relationships/hyperlink" Target="https://www.vistaequitypartners.com/private-equity/" TargetMode="External" Id="rId35"/><Relationship Type="http://schemas.openxmlformats.org/officeDocument/2006/relationships/hyperlink" Target="https://www.vistaequitypartners.com/contact/" TargetMode="External" Id="rId36"/><Relationship Type="http://schemas.openxmlformats.org/officeDocument/2006/relationships/hyperlink" Target="https://mbrif.ae/faq-2/" TargetMode="External" Id="rId37"/><Relationship Type="http://schemas.openxmlformats.org/officeDocument/2006/relationships/hyperlink" Target="https://mbrif.ae/faq-2/" TargetMode="External" Id="rId38"/><Relationship Type="http://schemas.openxmlformats.org/officeDocument/2006/relationships/hyperlink" Target="https://emiratesgbc.org/energy-efficiency-program/" TargetMode="External" Id="rId39"/><Relationship Type="http://schemas.openxmlformats.org/officeDocument/2006/relationships/hyperlink" Target="https://emiratesgbc.org/contact-us/" TargetMode="External" Id="rId40"/><Relationship Type="http://schemas.openxmlformats.org/officeDocument/2006/relationships/hyperlink" Target="https://startad.ae/programs/" TargetMode="External" Id="rId41"/><Relationship Type="http://schemas.openxmlformats.org/officeDocument/2006/relationships/hyperlink" Target="https://startad.ae/contact/" TargetMode="External" Id="rId42"/><Relationship Type="http://schemas.openxmlformats.org/officeDocument/2006/relationships/hyperlink" Target="https://www.hub71.com/program/access-programme/apply" TargetMode="External" Id="rId43"/><Relationship Type="http://schemas.openxmlformats.org/officeDocument/2006/relationships/hyperlink" Target="https://www.hub71.com/program/access-programme/apply" TargetMode="External" Id="rId44"/><Relationship Type="http://schemas.openxmlformats.org/officeDocument/2006/relationships/hyperlink" Target="https://www.shorooq.com/what-we-do/equity-venture-capital" TargetMode="External" Id="rId45"/><Relationship Type="http://schemas.openxmlformats.org/officeDocument/2006/relationships/hyperlink" Target="https://www.shorooq.com/locations" TargetMode="External" Id="rId46"/><Relationship Type="http://schemas.openxmlformats.org/officeDocument/2006/relationships/hyperlink" Target="https://www.dubaifuture.ae/initiatives/future-design-and-acceleration/dubai-future-accelerators/" TargetMode="External" Id="rId47"/><Relationship Type="http://schemas.openxmlformats.org/officeDocument/2006/relationships/hyperlink" Target="https://www.dubaifuture.ae/initiatives/future-design-and-acceleration/dubai-future-accelerators/" TargetMode="External" Id="rId48"/><Relationship Type="http://schemas.openxmlformats.org/officeDocument/2006/relationships/hyperlink" Target="https://etihadesco.ae/" TargetMode="External" Id="rId49"/><Relationship Type="http://schemas.openxmlformats.org/officeDocument/2006/relationships/hyperlink" Target="https://etihadesco.ae/contacts/" TargetMode="External" Id="rId50"/><Relationship Type="http://schemas.openxmlformats.org/officeDocument/2006/relationships/hyperlink" Target="https://www.ku.ac.ae/research/research-administration/" TargetMode="External" Id="rId51"/><Relationship Type="http://schemas.openxmlformats.org/officeDocument/2006/relationships/hyperlink" Target="https://www.ku.ac.ae/research-offices/technology-management-innovation/commercial-agreements" TargetMode="External" Id="rId52"/><Relationship Type="http://schemas.openxmlformats.org/officeDocument/2006/relationships/hyperlink" Target="https://dtec.ae/programs/" TargetMode="External" Id="rId53"/><Relationship Type="http://schemas.openxmlformats.org/officeDocument/2006/relationships/hyperlink" Target="https://dtec.ae/programs/" TargetMode="External" Id="rId54"/><Relationship Type="http://schemas.openxmlformats.org/officeDocument/2006/relationships/hyperlink" Target="https://mbzuai.ac.ae/innovation-partnerships/incubation-entrepreneurship-center" TargetMode="External" Id="rId55"/><Relationship Type="http://schemas.openxmlformats.org/officeDocument/2006/relationships/hyperlink" Target="https://mbzuai.ac.ae/innovation-partnerships/incubation-entrepreneurship-center" TargetMode="External" Id="rId56"/><Relationship Type="http://schemas.openxmlformats.org/officeDocument/2006/relationships/hyperlink" Target="https://www.wamda.com/about" TargetMode="External" Id="rId57"/><Relationship Type="http://schemas.openxmlformats.org/officeDocument/2006/relationships/hyperlink" Target="https://wamdacapital.com/contact-us/" TargetMode="External" Id="rId58"/><Relationship Type="http://schemas.openxmlformats.org/officeDocument/2006/relationships/hyperlink" Target="https://www.gulfcapital.com/the-firm" TargetMode="External" Id="rId59"/><Relationship Type="http://schemas.openxmlformats.org/officeDocument/2006/relationships/hyperlink" Target="https://www.gulfcapital.com/contact-us" TargetMode="External" Id="rId60"/><Relationship Type="http://schemas.openxmlformats.org/officeDocument/2006/relationships/hyperlink" Target="https://www.ntu.edu.sg/erian/industry-partners" TargetMode="External" Id="rId61"/><Relationship Type="http://schemas.openxmlformats.org/officeDocument/2006/relationships/hyperlink" Target="https://www.ntu.edu.sg/erian/industry-partners" TargetMode="External" Id="rId62"/><Relationship Type="http://schemas.openxmlformats.org/officeDocument/2006/relationships/hyperlink" Target="https://www.a-star.edu.sg/artc/" TargetMode="External" Id="rId63"/><Relationship Type="http://schemas.openxmlformats.org/officeDocument/2006/relationships/hyperlink" Target="https://www.a-star.edu.sg/artc/contact-us" TargetMode="External" Id="rId64"/><Relationship Type="http://schemas.openxmlformats.org/officeDocument/2006/relationships/hyperlink" Target="https://wavemaker.vc/our-investment-thesis/" TargetMode="External" Id="rId65"/><Relationship Type="http://schemas.openxmlformats.org/officeDocument/2006/relationships/hyperlink" Target="https://wavemaker.vc/contact-us/" TargetMode="External" Id="rId66"/><Relationship Type="http://schemas.openxmlformats.org/officeDocument/2006/relationships/hyperlink" Target="https://www1.bca.gov.sg/sustainability/green-buildings-innovation-cluster-gbic-programme/" TargetMode="External" Id="rId67"/><Relationship Type="http://schemas.openxmlformats.org/officeDocument/2006/relationships/hyperlink" Target="https://www1.bca.gov.sg/sustainability/green-buildings-innovation-cluster-gbic-programme/" TargetMode="External" Id="rId68"/><Relationship Type="http://schemas.openxmlformats.org/officeDocument/2006/relationships/hyperlink" Target="https://www.sutd.edu.sg/about/partnering-with-sutd/" TargetMode="External" Id="rId69"/><Relationship Type="http://schemas.openxmlformats.org/officeDocument/2006/relationships/hyperlink" Target="https://www.sutd.edu.sg/contact-us/contact-sutd/" TargetMode="External" Id="rId70"/><Relationship Type="http://schemas.openxmlformats.org/officeDocument/2006/relationships/hyperlink" Target="https://nus.edu.sg/research/odprt-home/research-concierge" TargetMode="External" Id="rId71"/><Relationship Type="http://schemas.openxmlformats.org/officeDocument/2006/relationships/hyperlink" Target="https://nus.edu.sg/research/odprt-home/research-concierge" TargetMode="External" Id="rId72"/><Relationship Type="http://schemas.openxmlformats.org/officeDocument/2006/relationships/hyperlink" Target="https://www.sgbc.sg/membership/about-sgbc-membership/" TargetMode="External" Id="rId73"/><Relationship Type="http://schemas.openxmlformats.org/officeDocument/2006/relationships/hyperlink" Target="https://www.sgbc.sg/contact-us/" TargetMode="External" Id="rId74"/><Relationship Type="http://schemas.openxmlformats.org/officeDocument/2006/relationships/hyperlink" Target="https://www.sginnovate.com/our-approach" TargetMode="External" Id="rId75"/><Relationship Type="http://schemas.openxmlformats.org/officeDocument/2006/relationships/hyperlink" Target="https://www.sginnovate.com/contact-us" TargetMode="External" Id="rId76"/><Relationship Type="http://schemas.openxmlformats.org/officeDocument/2006/relationships/hyperlink" Target="https://www.seedscapital.sg/about-us/our-co-investment-model/" TargetMode="External" Id="rId77"/><Relationship Type="http://schemas.openxmlformats.org/officeDocument/2006/relationships/hyperlink" Target="https://www.seedscapital.sg/" TargetMode="External" Id="rId78"/><Relationship Type="http://schemas.openxmlformats.org/officeDocument/2006/relationships/hyperlink" Target="https://www.edb.gov.sg/en/business-insights/insights/partners-programmes-to-accelerate-your-startup-s-trajectory-in-singapore.html" TargetMode="External" Id="rId79"/><Relationship Type="http://schemas.openxmlformats.org/officeDocument/2006/relationships/hyperlink" Target="https://www.startupsg.gov.sg/programmes/" TargetMode="External" Id="rId80"/><Relationship Type="http://schemas.openxmlformats.org/officeDocument/2006/relationships/hyperlink" Target="https://www.naviscapital.com/private-equity/the-navis-approach/" TargetMode="External" Id="rId81"/><Relationship Type="http://schemas.openxmlformats.org/officeDocument/2006/relationships/hyperlink" Target="https://www.naviscapital.com/contact-us/" TargetMode="External" Id="rId82"/><Relationship Type="http://schemas.openxmlformats.org/officeDocument/2006/relationships/hyperlink" Target="https://respark.iitm.ac.in/energy-sustainability" TargetMode="External" Id="rId83"/><Relationship Type="http://schemas.openxmlformats.org/officeDocument/2006/relationships/hyperlink" Target="https://respark.iitm.ac.in/energy-sustainability" TargetMode="External" Id="rId84"/><Relationship Type="http://schemas.openxmlformats.org/officeDocument/2006/relationships/hyperlink" Target="https://www.iitm.ac.in/research-park/incubation-cell" TargetMode="External" Id="rId85"/><Relationship Type="http://schemas.openxmlformats.org/officeDocument/2006/relationships/hyperlink" Target="https://respark.iitm.ac.in/startups" TargetMode="External" Id="rId86"/><Relationship Type="http://schemas.openxmlformats.org/officeDocument/2006/relationships/hyperlink" Target="https://startupharyana.gov.in/front/incubator/dbeab2eb-1777-4119-b5b1-5affdef89a10" TargetMode="External" Id="rId87"/><Relationship Type="http://schemas.openxmlformats.org/officeDocument/2006/relationships/hyperlink" Target="https://startupharyana.gov.in/front/incubator/dbeab2eb-1777-4119-b5b1-5affdef89a10" TargetMode="External" Id="rId88"/><Relationship Type="http://schemas.openxmlformats.org/officeDocument/2006/relationships/hyperlink" Target="https://www.igbc.in/organisational-membership" TargetMode="External" Id="rId89"/><Relationship Type="http://schemas.openxmlformats.org/officeDocument/2006/relationships/hyperlink" Target="https://www.igbc.in/contact-us" TargetMode="External" Id="rId90"/><Relationship Type="http://schemas.openxmlformats.org/officeDocument/2006/relationships/hyperlink" Target="https://www.transitionventurecapital.com/" TargetMode="External" Id="rId91"/><Relationship Type="http://schemas.openxmlformats.org/officeDocument/2006/relationships/hyperlink" Target="https://www.transitionventurecapital.com/contact" TargetMode="External" Id="rId92"/><Relationship Type="http://schemas.openxmlformats.org/officeDocument/2006/relationships/hyperlink" Target="https://www.beeindia.gov.in/show_content.php?lang=1&amp;level=2&amp;lid=419&amp;ls_id=344" TargetMode="External" Id="rId93"/><Relationship Type="http://schemas.openxmlformats.org/officeDocument/2006/relationships/hyperlink" Target="https://www.beeindia.gov.in/show_content.php?lang=1&amp;level=2&amp;lid=419&amp;ls_id=344" TargetMode="External" Id="rId94"/><Relationship Type="http://schemas.openxmlformats.org/officeDocument/2006/relationships/hyperlink" Target="https://www.specialeinvest.com/about" TargetMode="External" Id="rId95"/><Relationship Type="http://schemas.openxmlformats.org/officeDocument/2006/relationships/hyperlink" Target="https://www.specialeinvest.com/contact" TargetMode="External" Id="rId96"/><Relationship Type="http://schemas.openxmlformats.org/officeDocument/2006/relationships/hyperlink" Target="https://www.anicutcapital.com/seed/" TargetMode="External" Id="rId97"/><Relationship Type="http://schemas.openxmlformats.org/officeDocument/2006/relationships/hyperlink" Target="https://www.anicutcapital.com/contact/" TargetMode="External" Id="rId98"/><Relationship Type="http://schemas.openxmlformats.org/officeDocument/2006/relationships/hyperlink" Target="https://www.startupindia.gov.in/srf/portal/SRF_2022_Result_page/Tamil_Nadu.pdf" TargetMode="External" Id="rId99"/><Relationship Type="http://schemas.openxmlformats.org/officeDocument/2006/relationships/hyperlink" Target="https://startuptn.in/" TargetMode="External" Id="rId100"/><Relationship Type="http://schemas.openxmlformats.org/officeDocument/2006/relationships/hyperlink" Target="https://seedfund.startupindia.gov.in/about" TargetMode="External" Id="rId101"/><Relationship Type="http://schemas.openxmlformats.org/officeDocument/2006/relationships/hyperlink" Target="https://seedfund.startupindia.gov.in/faq" TargetMode="External" Id="rId102"/><Relationship Type="http://schemas.openxmlformats.org/officeDocument/2006/relationships/hyperlink" Target="https://everstonecapital.com/" TargetMode="External" Id="rId103"/><Relationship Type="http://schemas.openxmlformats.org/officeDocument/2006/relationships/hyperlink" Target="https://everstonecapital.com/contact/" TargetMode="External" Id="rId104"/><Relationship Type="http://schemas.openxmlformats.org/officeDocument/2006/relationships/table" Target="/xl/tables/table10.xml" Id="rId105"/></Relationships>
</file>

<file path=xl/worksheets/_rels/sheet11.xml.rels><Relationships xmlns="http://schemas.openxmlformats.org/package/2006/relationships"><Relationship Type="http://schemas.openxmlformats.org/officeDocument/2006/relationships/hyperlink" Target="https://aws.amazon.com/startups/credits/" TargetMode="External" Id="rId1"/><Relationship Type="http://schemas.openxmlformats.org/officeDocument/2006/relationships/hyperlink" Target="https://thecompanylab.org/accelerator/energy-innovation/" TargetMode="External" Id="rId2"/><Relationship Type="http://schemas.openxmlformats.org/officeDocument/2006/relationships/hyperlink" Target="https://ecocomplex.rutgers.edu/incubator-businesses.html" TargetMode="External" Id="rId3"/><Relationship Type="http://schemas.openxmlformats.org/officeDocument/2006/relationships/hyperlink" Target="https://www.ahla.com/htng/communities-of-interest-artificial-intelligence" TargetMode="External" Id="rId4"/><Relationship Type="http://schemas.openxmlformats.org/officeDocument/2006/relationships/hyperlink" Target="https://bizsaveportal.pseg.com/TradeAlly/TradeAllyApplication/Begin" TargetMode="External" Id="rId5"/><Relationship Type="http://schemas.openxmlformats.org/officeDocument/2006/relationships/hyperlink" Target="https://www.third-derivative.org/startups" TargetMode="External" Id="rId6"/><Relationship Type="http://schemas.openxmlformats.org/officeDocument/2006/relationships/hyperlink" Target="https://cleanenergyventures.com/working-with-us" TargetMode="External" Id="rId7"/><Relationship Type="http://schemas.openxmlformats.org/officeDocument/2006/relationships/hyperlink" Target="https://www.congruentvc.com/" TargetMode="External" Id="rId8"/><Relationship Type="http://schemas.openxmlformats.org/officeDocument/2006/relationships/hyperlink" Target="https://elementalimpact.com/funding-opportunities/apply/" TargetMode="External" Id="rId9"/><Relationship Type="http://schemas.openxmlformats.org/officeDocument/2006/relationships/hyperlink" Target="https://www.cleantechopen.org/en/page/2026-cto-accelerator-en" TargetMode="External" Id="rId10"/><Relationship Type="http://schemas.openxmlformats.org/officeDocument/2006/relationships/hyperlink" Target="https://research.njit.edu/forindustry" TargetMode="External" Id="rId11"/><Relationship Type="http://schemas.openxmlformats.org/officeDocument/2006/relationships/hyperlink" Target="https://www.digitaltwinconsortium.org/dtcmembersearch/" TargetMode="External" Id="rId12"/><Relationship Type="http://schemas.openxmlformats.org/officeDocument/2006/relationships/hyperlink" Target="https://www.njcsit.gov/clean-tech-research-and-development-rd-voucher-program-round-3/" TargetMode="External" Id="rId13"/><Relationship Type="http://schemas.openxmlformats.org/officeDocument/2006/relationships/hyperlink" Target="https://www.njeda.gov/wp-content/uploads/2025/06/NJEDA-Clean-Energy-Newsletter-Q2-2025.pdf" TargetMode="External" Id="rId14"/><Relationship Type="http://schemas.openxmlformats.org/officeDocument/2006/relationships/hyperlink" Target="https://seedfund.nsf.gov/solicitation-eligibility/" TargetMode="External" Id="rId15"/><Relationship Type="http://schemas.openxmlformats.org/officeDocument/2006/relationships/hyperlink" Target="https://www.energy.gov/technologycommercialization/doe-small-business-innovation-research-sbir-and-small-business" TargetMode="External" Id="rId16"/><Relationship Type="http://schemas.openxmlformats.org/officeDocument/2006/relationships/hyperlink" Target="https://www.aboutamazon.eu/news/sustainability/sustainability-accelerator-climate-tech-programme-2026" TargetMode="External" Id="rId17"/><Relationship Type="http://schemas.openxmlformats.org/officeDocument/2006/relationships/hyperlink" Target="https://www.vistaequitypartners.com/private-equity/" TargetMode="External" Id="rId18"/><Relationship Type="http://schemas.openxmlformats.org/officeDocument/2006/relationships/hyperlink" Target="https://mbrif.ae/faq-2/" TargetMode="External" Id="rId19"/><Relationship Type="http://schemas.openxmlformats.org/officeDocument/2006/relationships/hyperlink" Target="https://emiratesgbc.org/energy-efficiency-program/" TargetMode="External" Id="rId20"/><Relationship Type="http://schemas.openxmlformats.org/officeDocument/2006/relationships/hyperlink" Target="https://startad.ae/programs/" TargetMode="External" Id="rId21"/><Relationship Type="http://schemas.openxmlformats.org/officeDocument/2006/relationships/hyperlink" Target="https://www.hub71.com/program/access-programme/apply" TargetMode="External" Id="rId22"/><Relationship Type="http://schemas.openxmlformats.org/officeDocument/2006/relationships/hyperlink" Target="https://www.shorooq.com/what-we-do/equity-venture-capital" TargetMode="External" Id="rId23"/><Relationship Type="http://schemas.openxmlformats.org/officeDocument/2006/relationships/hyperlink" Target="https://www.dubaifuture.ae/initiatives/future-design-and-acceleration/dubai-future-accelerators/" TargetMode="External" Id="rId24"/><Relationship Type="http://schemas.openxmlformats.org/officeDocument/2006/relationships/hyperlink" Target="https://etihadesco.ae/" TargetMode="External" Id="rId25"/><Relationship Type="http://schemas.openxmlformats.org/officeDocument/2006/relationships/hyperlink" Target="https://www.ku.ac.ae/research/research-administration/" TargetMode="External" Id="rId26"/><Relationship Type="http://schemas.openxmlformats.org/officeDocument/2006/relationships/hyperlink" Target="https://dtec.ae/programs/" TargetMode="External" Id="rId27"/><Relationship Type="http://schemas.openxmlformats.org/officeDocument/2006/relationships/hyperlink" Target="https://mbzuai.ac.ae/innovation-partnerships/incubation-entrepreneurship-center" TargetMode="External" Id="rId28"/><Relationship Type="http://schemas.openxmlformats.org/officeDocument/2006/relationships/hyperlink" Target="https://www.wamda.com/about" TargetMode="External" Id="rId29"/><Relationship Type="http://schemas.openxmlformats.org/officeDocument/2006/relationships/hyperlink" Target="https://www.gulfcapital.com/the-firm" TargetMode="External" Id="rId30"/><Relationship Type="http://schemas.openxmlformats.org/officeDocument/2006/relationships/hyperlink" Target="https://www.ntu.edu.sg/erian/industry-partners" TargetMode="External" Id="rId31"/><Relationship Type="http://schemas.openxmlformats.org/officeDocument/2006/relationships/hyperlink" Target="https://www.a-star.edu.sg/artc/" TargetMode="External" Id="rId32"/><Relationship Type="http://schemas.openxmlformats.org/officeDocument/2006/relationships/hyperlink" Target="https://wavemaker.vc/our-investment-thesis/" TargetMode="External" Id="rId33"/><Relationship Type="http://schemas.openxmlformats.org/officeDocument/2006/relationships/hyperlink" Target="https://www1.bca.gov.sg/sustainability/green-buildings-innovation-cluster-gbic-programme/" TargetMode="External" Id="rId34"/><Relationship Type="http://schemas.openxmlformats.org/officeDocument/2006/relationships/hyperlink" Target="https://www.sutd.edu.sg/about/partnering-with-sutd/" TargetMode="External" Id="rId35"/><Relationship Type="http://schemas.openxmlformats.org/officeDocument/2006/relationships/hyperlink" Target="https://nus.edu.sg/research/odprt-home/research-concierge" TargetMode="External" Id="rId36"/><Relationship Type="http://schemas.openxmlformats.org/officeDocument/2006/relationships/hyperlink" Target="https://www.sgbc.sg/membership/about-sgbc-membership/" TargetMode="External" Id="rId37"/><Relationship Type="http://schemas.openxmlformats.org/officeDocument/2006/relationships/hyperlink" Target="https://www.sginnovate.com/our-approach" TargetMode="External" Id="rId38"/><Relationship Type="http://schemas.openxmlformats.org/officeDocument/2006/relationships/hyperlink" Target="https://www.seedscapital.sg/about-us/our-co-investment-model/" TargetMode="External" Id="rId39"/><Relationship Type="http://schemas.openxmlformats.org/officeDocument/2006/relationships/hyperlink" Target="https://www.edb.gov.sg/en/business-insights/insights/partners-programmes-to-accelerate-your-startup-s-trajectory-in-singapore.html" TargetMode="External" Id="rId40"/><Relationship Type="http://schemas.openxmlformats.org/officeDocument/2006/relationships/hyperlink" Target="https://www.naviscapital.com/private-equity/the-navis-approach/" TargetMode="External" Id="rId41"/><Relationship Type="http://schemas.openxmlformats.org/officeDocument/2006/relationships/hyperlink" Target="https://respark.iitm.ac.in/energy-sustainability" TargetMode="External" Id="rId42"/><Relationship Type="http://schemas.openxmlformats.org/officeDocument/2006/relationships/hyperlink" Target="https://www.iitm.ac.in/research-park/incubation-cell" TargetMode="External" Id="rId43"/><Relationship Type="http://schemas.openxmlformats.org/officeDocument/2006/relationships/hyperlink" Target="https://startupharyana.gov.in/front/incubator/dbeab2eb-1777-4119-b5b1-5affdef89a10" TargetMode="External" Id="rId44"/><Relationship Type="http://schemas.openxmlformats.org/officeDocument/2006/relationships/hyperlink" Target="https://www.igbc.in/organisational-membership" TargetMode="External" Id="rId45"/><Relationship Type="http://schemas.openxmlformats.org/officeDocument/2006/relationships/hyperlink" Target="https://www.transitionventurecapital.com/" TargetMode="External" Id="rId46"/><Relationship Type="http://schemas.openxmlformats.org/officeDocument/2006/relationships/hyperlink" Target="https://www.beeindia.gov.in/show_content.php?lang=1&amp;level=2&amp;lid=419&amp;ls_id=344" TargetMode="External" Id="rId47"/><Relationship Type="http://schemas.openxmlformats.org/officeDocument/2006/relationships/hyperlink" Target="https://www.specialeinvest.com/about" TargetMode="External" Id="rId48"/><Relationship Type="http://schemas.openxmlformats.org/officeDocument/2006/relationships/hyperlink" Target="https://www.anicutcapital.com/seed/" TargetMode="External" Id="rId49"/><Relationship Type="http://schemas.openxmlformats.org/officeDocument/2006/relationships/hyperlink" Target="https://www.startupindia.gov.in/srf/portal/SRF_2022_Result_page/Tamil_Nadu.pdf" TargetMode="External" Id="rId50"/><Relationship Type="http://schemas.openxmlformats.org/officeDocument/2006/relationships/hyperlink" Target="https://seedfund.startupindia.gov.in/about" TargetMode="External" Id="rId51"/><Relationship Type="http://schemas.openxmlformats.org/officeDocument/2006/relationships/hyperlink" Target="https://everstonecapital.com/" TargetMode="External" Id="rId52"/><Relationship Type="http://schemas.openxmlformats.org/officeDocument/2006/relationships/table" Target="/xl/tables/table11.xml" Id="rId53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aws.amazon.com/startups/credits/" TargetMode="External" Id="rId1"/><Relationship Type="http://schemas.openxmlformats.org/officeDocument/2006/relationships/hyperlink" Target="https://aws.amazon.com/startups/credits/" TargetMode="External" Id="rId2"/><Relationship Type="http://schemas.openxmlformats.org/officeDocument/2006/relationships/hyperlink" Target="https://thecompanylab.org/accelerator/energy-innovation/" TargetMode="External" Id="rId3"/><Relationship Type="http://schemas.openxmlformats.org/officeDocument/2006/relationships/hyperlink" Target="https://thecompanylab.org/accelerator/energy-innovation/" TargetMode="External" Id="rId4"/><Relationship Type="http://schemas.openxmlformats.org/officeDocument/2006/relationships/hyperlink" Target="https://ecocomplex.rutgers.edu/contact.html" TargetMode="External" Id="rId5"/><Relationship Type="http://schemas.openxmlformats.org/officeDocument/2006/relationships/hyperlink" Target="https://ecocomplex.rutgers.edu/incubator-businesses.html" TargetMode="External" Id="rId6"/><Relationship Type="http://schemas.openxmlformats.org/officeDocument/2006/relationships/hyperlink" Target="https://www.ahla.com/htng/communities-of-interest-artificial-intelligence" TargetMode="External" Id="rId7"/><Relationship Type="http://schemas.openxmlformats.org/officeDocument/2006/relationships/hyperlink" Target="https://www.ahla.com/htng/communities-of-interest-artificial-intelligence" TargetMode="External" Id="rId8"/><Relationship Type="http://schemas.openxmlformats.org/officeDocument/2006/relationships/hyperlink" Target="https://mybizenergy.pseg.com/energy-management-program" TargetMode="External" Id="rId9"/><Relationship Type="http://schemas.openxmlformats.org/officeDocument/2006/relationships/hyperlink" Target="https://bizsaveportal.pseg.com/TradeAlly/TradeAllyApplication/Begin" TargetMode="External" Id="rId10"/><Relationship Type="http://schemas.openxmlformats.org/officeDocument/2006/relationships/hyperlink" Target="https://www.third-derivative.org/startups" TargetMode="External" Id="rId11"/><Relationship Type="http://schemas.openxmlformats.org/officeDocument/2006/relationships/hyperlink" Target="https://www.third-derivative.org/startups" TargetMode="External" Id="rId12"/><Relationship Type="http://schemas.openxmlformats.org/officeDocument/2006/relationships/hyperlink" Target="https://cevg.com/apply/" TargetMode="External" Id="rId13"/><Relationship Type="http://schemas.openxmlformats.org/officeDocument/2006/relationships/hyperlink" Target="https://cleanenergyventures.com/working-with-us" TargetMode="External" Id="rId14"/><Relationship Type="http://schemas.openxmlformats.org/officeDocument/2006/relationships/hyperlink" Target="https://www.congruentvc.com/thinking" TargetMode="External" Id="rId15"/><Relationship Type="http://schemas.openxmlformats.org/officeDocument/2006/relationships/hyperlink" Target="https://www.congruentvc.com/" TargetMode="External" Id="rId16"/><Relationship Type="http://schemas.openxmlformats.org/officeDocument/2006/relationships/hyperlink" Target="https://elementalimpact.com/funding-opportunities/apply/" TargetMode="External" Id="rId17"/><Relationship Type="http://schemas.openxmlformats.org/officeDocument/2006/relationships/hyperlink" Target="https://elementalimpact.com/funding-opportunities/apply/" TargetMode="External" Id="rId18"/><Relationship Type="http://schemas.openxmlformats.org/officeDocument/2006/relationships/hyperlink" Target="https://www.cleantechopen.org/en/page/2026-cto-accelerator-en" TargetMode="External" Id="rId19"/><Relationship Type="http://schemas.openxmlformats.org/officeDocument/2006/relationships/hyperlink" Target="https://www.cleantechopen.org/en/page/2026-cto-accelerator-en" TargetMode="External" Id="rId20"/><Relationship Type="http://schemas.openxmlformats.org/officeDocument/2006/relationships/hyperlink" Target="https://research.njit.edu/industry" TargetMode="External" Id="rId21"/><Relationship Type="http://schemas.openxmlformats.org/officeDocument/2006/relationships/hyperlink" Target="https://research.njit.edu/forindustry" TargetMode="External" Id="rId22"/><Relationship Type="http://schemas.openxmlformats.org/officeDocument/2006/relationships/hyperlink" Target="https://www.digitaltwinconsortium.org/contact-us/" TargetMode="External" Id="rId23"/><Relationship Type="http://schemas.openxmlformats.org/officeDocument/2006/relationships/hyperlink" Target="https://www.digitaltwinconsortium.org/dtcmembersearch/" TargetMode="External" Id="rId24"/><Relationship Type="http://schemas.openxmlformats.org/officeDocument/2006/relationships/hyperlink" Target="https://www.njcsit.gov/clean-tech-research-and-development-rd-voucher-program-round-3/" TargetMode="External" Id="rId25"/><Relationship Type="http://schemas.openxmlformats.org/officeDocument/2006/relationships/hyperlink" Target="https://www.njcsit.gov/clean-tech-research-and-development-rd-voucher-program-round-3/" TargetMode="External" Id="rId26"/><Relationship Type="http://schemas.openxmlformats.org/officeDocument/2006/relationships/hyperlink" Target="https://www.njcsit.gov/" TargetMode="External" Id="rId27"/><Relationship Type="http://schemas.openxmlformats.org/officeDocument/2006/relationships/hyperlink" Target="https://www.njeda.gov/wp-content/uploads/2025/06/NJEDA-Clean-Energy-Newsletter-Q2-2025.pdf" TargetMode="External" Id="rId28"/><Relationship Type="http://schemas.openxmlformats.org/officeDocument/2006/relationships/hyperlink" Target="https://seedfund.nsf.gov/apply/" TargetMode="External" Id="rId29"/><Relationship Type="http://schemas.openxmlformats.org/officeDocument/2006/relationships/hyperlink" Target="https://seedfund.nsf.gov/solicitation-eligibility/" TargetMode="External" Id="rId30"/><Relationship Type="http://schemas.openxmlformats.org/officeDocument/2006/relationships/hyperlink" Target="https://www.energy.gov/technologycommercialization/doe-small-business-innovation-research-sbir-and-small-business" TargetMode="External" Id="rId31"/><Relationship Type="http://schemas.openxmlformats.org/officeDocument/2006/relationships/hyperlink" Target="https://www.energy.gov/technologycommercialization/doe-small-business-innovation-research-sbir-and-small-business" TargetMode="External" Id="rId32"/><Relationship Type="http://schemas.openxmlformats.org/officeDocument/2006/relationships/hyperlink" Target="https://sustainability.aboutamazon.com/sustainability-accelerator-climate-tech" TargetMode="External" Id="rId33"/><Relationship Type="http://schemas.openxmlformats.org/officeDocument/2006/relationships/hyperlink" Target="https://www.aboutamazon.eu/news/sustainability/sustainability-accelerator-climate-tech-programme-2026" TargetMode="External" Id="rId34"/><Relationship Type="http://schemas.openxmlformats.org/officeDocument/2006/relationships/hyperlink" Target="https://www.vistaequitypartners.com/contact/" TargetMode="External" Id="rId35"/><Relationship Type="http://schemas.openxmlformats.org/officeDocument/2006/relationships/hyperlink" Target="https://www.vistaequitypartners.com/private-equity/" TargetMode="External" Id="rId36"/><Relationship Type="http://schemas.openxmlformats.org/officeDocument/2006/relationships/hyperlink" Target="https://mbrif.ae/faq-2/" TargetMode="External" Id="rId37"/><Relationship Type="http://schemas.openxmlformats.org/officeDocument/2006/relationships/hyperlink" Target="https://mbrif.ae/faq-2/" TargetMode="External" Id="rId38"/><Relationship Type="http://schemas.openxmlformats.org/officeDocument/2006/relationships/hyperlink" Target="https://emiratesgbc.org/contact-us/" TargetMode="External" Id="rId39"/><Relationship Type="http://schemas.openxmlformats.org/officeDocument/2006/relationships/hyperlink" Target="https://emiratesgbc.org/energy-efficiency-program/" TargetMode="External" Id="rId40"/><Relationship Type="http://schemas.openxmlformats.org/officeDocument/2006/relationships/hyperlink" Target="https://startad.ae/contact/" TargetMode="External" Id="rId41"/><Relationship Type="http://schemas.openxmlformats.org/officeDocument/2006/relationships/hyperlink" Target="https://startad.ae/programs/" TargetMode="External" Id="rId42"/><Relationship Type="http://schemas.openxmlformats.org/officeDocument/2006/relationships/hyperlink" Target="https://www.hub71.com/program/access-programme/apply" TargetMode="External" Id="rId43"/><Relationship Type="http://schemas.openxmlformats.org/officeDocument/2006/relationships/hyperlink" Target="https://www.hub71.com/program/access-programme/apply" TargetMode="External" Id="rId44"/><Relationship Type="http://schemas.openxmlformats.org/officeDocument/2006/relationships/hyperlink" Target="https://www.shorooq.com/locations" TargetMode="External" Id="rId45"/><Relationship Type="http://schemas.openxmlformats.org/officeDocument/2006/relationships/hyperlink" Target="https://www.shorooq.com/what-we-do/equity-venture-capital" TargetMode="External" Id="rId46"/><Relationship Type="http://schemas.openxmlformats.org/officeDocument/2006/relationships/hyperlink" Target="https://www.dubaifuture.ae/initiatives/future-design-and-acceleration/dubai-future-accelerators/" TargetMode="External" Id="rId47"/><Relationship Type="http://schemas.openxmlformats.org/officeDocument/2006/relationships/hyperlink" Target="https://www.dubaifuture.ae/initiatives/future-design-and-acceleration/dubai-future-accelerators/" TargetMode="External" Id="rId48"/><Relationship Type="http://schemas.openxmlformats.org/officeDocument/2006/relationships/hyperlink" Target="https://etihadesco.ae/contacts/" TargetMode="External" Id="rId49"/><Relationship Type="http://schemas.openxmlformats.org/officeDocument/2006/relationships/hyperlink" Target="https://etihadesco.ae/" TargetMode="External" Id="rId50"/><Relationship Type="http://schemas.openxmlformats.org/officeDocument/2006/relationships/hyperlink" Target="https://www.ku.ac.ae/research-offices/technology-management-innovation/commercial-agreements" TargetMode="External" Id="rId51"/><Relationship Type="http://schemas.openxmlformats.org/officeDocument/2006/relationships/hyperlink" Target="https://www.ku.ac.ae/research/research-administration/" TargetMode="External" Id="rId52"/><Relationship Type="http://schemas.openxmlformats.org/officeDocument/2006/relationships/hyperlink" Target="https://dtec.ae/programs/" TargetMode="External" Id="rId53"/><Relationship Type="http://schemas.openxmlformats.org/officeDocument/2006/relationships/hyperlink" Target="https://dtec.ae/programs/" TargetMode="External" Id="rId54"/><Relationship Type="http://schemas.openxmlformats.org/officeDocument/2006/relationships/hyperlink" Target="https://mbzuai.ac.ae/innovation-partnerships/incubation-entrepreneurship-center" TargetMode="External" Id="rId55"/><Relationship Type="http://schemas.openxmlformats.org/officeDocument/2006/relationships/hyperlink" Target="https://mbzuai.ac.ae/innovation-partnerships/incubation-entrepreneurship-center" TargetMode="External" Id="rId56"/><Relationship Type="http://schemas.openxmlformats.org/officeDocument/2006/relationships/hyperlink" Target="https://wamdacapital.com/contact-us/" TargetMode="External" Id="rId57"/><Relationship Type="http://schemas.openxmlformats.org/officeDocument/2006/relationships/hyperlink" Target="https://www.wamda.com/about" TargetMode="External" Id="rId58"/><Relationship Type="http://schemas.openxmlformats.org/officeDocument/2006/relationships/hyperlink" Target="https://www.gulfcapital.com/contact-us" TargetMode="External" Id="rId59"/><Relationship Type="http://schemas.openxmlformats.org/officeDocument/2006/relationships/hyperlink" Target="https://www.gulfcapital.com/the-firm" TargetMode="External" Id="rId60"/><Relationship Type="http://schemas.openxmlformats.org/officeDocument/2006/relationships/hyperlink" Target="https://www.ntu.edu.sg/erian/industry-partners" TargetMode="External" Id="rId61"/><Relationship Type="http://schemas.openxmlformats.org/officeDocument/2006/relationships/hyperlink" Target="https://www.ntu.edu.sg/erian/industry-partners" TargetMode="External" Id="rId62"/><Relationship Type="http://schemas.openxmlformats.org/officeDocument/2006/relationships/hyperlink" Target="https://www.a-star.edu.sg/artc/contact-us" TargetMode="External" Id="rId63"/><Relationship Type="http://schemas.openxmlformats.org/officeDocument/2006/relationships/hyperlink" Target="https://www.a-star.edu.sg/artc/" TargetMode="External" Id="rId64"/><Relationship Type="http://schemas.openxmlformats.org/officeDocument/2006/relationships/hyperlink" Target="https://wavemaker.vc/contact-us/" TargetMode="External" Id="rId65"/><Relationship Type="http://schemas.openxmlformats.org/officeDocument/2006/relationships/hyperlink" Target="https://wavemaker.vc/our-investment-thesis/" TargetMode="External" Id="rId66"/><Relationship Type="http://schemas.openxmlformats.org/officeDocument/2006/relationships/hyperlink" Target="https://www1.bca.gov.sg/sustainability/green-buildings-innovation-cluster-gbic-programme/" TargetMode="External" Id="rId67"/><Relationship Type="http://schemas.openxmlformats.org/officeDocument/2006/relationships/hyperlink" Target="https://www1.bca.gov.sg/sustainability/green-buildings-innovation-cluster-gbic-programme/" TargetMode="External" Id="rId68"/><Relationship Type="http://schemas.openxmlformats.org/officeDocument/2006/relationships/hyperlink" Target="https://www.sutd.edu.sg/contact-us/contact-sutd/" TargetMode="External" Id="rId69"/><Relationship Type="http://schemas.openxmlformats.org/officeDocument/2006/relationships/hyperlink" Target="https://www.sutd.edu.sg/about/partnering-with-sutd/" TargetMode="External" Id="rId70"/><Relationship Type="http://schemas.openxmlformats.org/officeDocument/2006/relationships/hyperlink" Target="https://nus.edu.sg/research/odprt-home/research-concierge" TargetMode="External" Id="rId71"/><Relationship Type="http://schemas.openxmlformats.org/officeDocument/2006/relationships/hyperlink" Target="https://nus.edu.sg/research/odprt-home/research-concierge" TargetMode="External" Id="rId72"/><Relationship Type="http://schemas.openxmlformats.org/officeDocument/2006/relationships/hyperlink" Target="https://www.sgbc.sg/contact-us/" TargetMode="External" Id="rId73"/><Relationship Type="http://schemas.openxmlformats.org/officeDocument/2006/relationships/hyperlink" Target="https://www.sgbc.sg/membership/about-sgbc-membership/" TargetMode="External" Id="rId74"/><Relationship Type="http://schemas.openxmlformats.org/officeDocument/2006/relationships/hyperlink" Target="https://www.sginnovate.com/contact-us" TargetMode="External" Id="rId75"/><Relationship Type="http://schemas.openxmlformats.org/officeDocument/2006/relationships/hyperlink" Target="https://www.sginnovate.com/our-approach" TargetMode="External" Id="rId76"/><Relationship Type="http://schemas.openxmlformats.org/officeDocument/2006/relationships/hyperlink" Target="https://www.seedscapital.sg/" TargetMode="External" Id="rId77"/><Relationship Type="http://schemas.openxmlformats.org/officeDocument/2006/relationships/hyperlink" Target="https://www.seedscapital.sg/about-us/our-co-investment-model/" TargetMode="External" Id="rId78"/><Relationship Type="http://schemas.openxmlformats.org/officeDocument/2006/relationships/hyperlink" Target="https://www.startupsg.gov.sg/programmes/" TargetMode="External" Id="rId79"/><Relationship Type="http://schemas.openxmlformats.org/officeDocument/2006/relationships/hyperlink" Target="https://www.edb.gov.sg/en/business-insights/insights/partners-programmes-to-accelerate-your-startup-s-trajectory-in-singapore.html" TargetMode="External" Id="rId80"/><Relationship Type="http://schemas.openxmlformats.org/officeDocument/2006/relationships/hyperlink" Target="https://www.naviscapital.com/contact-us/" TargetMode="External" Id="rId81"/><Relationship Type="http://schemas.openxmlformats.org/officeDocument/2006/relationships/hyperlink" Target="https://www.naviscapital.com/private-equity/the-navis-approach/" TargetMode="External" Id="rId82"/><Relationship Type="http://schemas.openxmlformats.org/officeDocument/2006/relationships/hyperlink" Target="https://respark.iitm.ac.in/energy-sustainability" TargetMode="External" Id="rId83"/><Relationship Type="http://schemas.openxmlformats.org/officeDocument/2006/relationships/hyperlink" Target="https://respark.iitm.ac.in/energy-sustainability" TargetMode="External" Id="rId84"/><Relationship Type="http://schemas.openxmlformats.org/officeDocument/2006/relationships/hyperlink" Target="https://respark.iitm.ac.in/startups" TargetMode="External" Id="rId85"/><Relationship Type="http://schemas.openxmlformats.org/officeDocument/2006/relationships/hyperlink" Target="https://www.iitm.ac.in/research-park/incubation-cell" TargetMode="External" Id="rId86"/><Relationship Type="http://schemas.openxmlformats.org/officeDocument/2006/relationships/hyperlink" Target="https://startupharyana.gov.in/front/incubator/dbeab2eb-1777-4119-b5b1-5affdef89a10" TargetMode="External" Id="rId87"/><Relationship Type="http://schemas.openxmlformats.org/officeDocument/2006/relationships/hyperlink" Target="https://startupharyana.gov.in/front/incubator/dbeab2eb-1777-4119-b5b1-5affdef89a10" TargetMode="External" Id="rId88"/><Relationship Type="http://schemas.openxmlformats.org/officeDocument/2006/relationships/hyperlink" Target="https://www.igbc.in/contact-us" TargetMode="External" Id="rId89"/><Relationship Type="http://schemas.openxmlformats.org/officeDocument/2006/relationships/hyperlink" Target="https://www.igbc.in/organisational-membership" TargetMode="External" Id="rId90"/><Relationship Type="http://schemas.openxmlformats.org/officeDocument/2006/relationships/hyperlink" Target="https://www.transitionventurecapital.com/contact" TargetMode="External" Id="rId91"/><Relationship Type="http://schemas.openxmlformats.org/officeDocument/2006/relationships/hyperlink" Target="https://www.transitionventurecapital.com/" TargetMode="External" Id="rId92"/><Relationship Type="http://schemas.openxmlformats.org/officeDocument/2006/relationships/hyperlink" Target="https://www.beeindia.gov.in/show_content.php?lang=1&amp;level=2&amp;lid=419&amp;ls_id=344" TargetMode="External" Id="rId93"/><Relationship Type="http://schemas.openxmlformats.org/officeDocument/2006/relationships/hyperlink" Target="https://www.beeindia.gov.in/show_content.php?lang=1&amp;level=2&amp;lid=419&amp;ls_id=344" TargetMode="External" Id="rId94"/><Relationship Type="http://schemas.openxmlformats.org/officeDocument/2006/relationships/hyperlink" Target="https://www.specialeinvest.com/contact" TargetMode="External" Id="rId95"/><Relationship Type="http://schemas.openxmlformats.org/officeDocument/2006/relationships/hyperlink" Target="https://www.specialeinvest.com/about" TargetMode="External" Id="rId96"/><Relationship Type="http://schemas.openxmlformats.org/officeDocument/2006/relationships/hyperlink" Target="https://www.anicutcapital.com/contact/" TargetMode="External" Id="rId97"/><Relationship Type="http://schemas.openxmlformats.org/officeDocument/2006/relationships/hyperlink" Target="https://www.anicutcapital.com/seed/" TargetMode="External" Id="rId98"/><Relationship Type="http://schemas.openxmlformats.org/officeDocument/2006/relationships/hyperlink" Target="https://startuptn.in/" TargetMode="External" Id="rId99"/><Relationship Type="http://schemas.openxmlformats.org/officeDocument/2006/relationships/hyperlink" Target="https://www.startupindia.gov.in/srf/portal/SRF_2022_Result_page/Tamil_Nadu.pdf" TargetMode="External" Id="rId100"/><Relationship Type="http://schemas.openxmlformats.org/officeDocument/2006/relationships/hyperlink" Target="https://seedfund.startupindia.gov.in/faq" TargetMode="External" Id="rId101"/><Relationship Type="http://schemas.openxmlformats.org/officeDocument/2006/relationships/hyperlink" Target="https://seedfund.startupindia.gov.in/about" TargetMode="External" Id="rId102"/><Relationship Type="http://schemas.openxmlformats.org/officeDocument/2006/relationships/hyperlink" Target="https://everstonecapital.com/contact/" TargetMode="External" Id="rId103"/><Relationship Type="http://schemas.openxmlformats.org/officeDocument/2006/relationships/hyperlink" Target="https://everstonecapital.com/" TargetMode="External" Id="rId104"/><Relationship Type="http://schemas.openxmlformats.org/officeDocument/2006/relationships/table" Target="/xl/tables/table13.xml" Id="rId105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tabColor rgb="00007F86"/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2" customHeight="1">
      <c r="A1" s="1" t="inlineStr">
        <is>
          <t>Topic</t>
        </is>
      </c>
      <c r="B1" s="1" t="inlineStr">
        <is>
          <t>Guidance</t>
        </is>
      </c>
    </row>
    <row r="2" ht="78" customHeight="1">
      <c r="A2" s="2" t="inlineStr">
        <is>
          <t>Purpose</t>
        </is>
      </c>
      <c r="B2" s="2" t="inlineStr">
        <is>
          <t>Meris OS Engine / Capital Cortex: sourced capital and validation outreach for Inspironics at pre-revenue stage. 52 prospects. Research checked 6 October 2026.</t>
        </is>
      </c>
    </row>
    <row r="3" ht="78" customHeight="1">
      <c r="A3" s="2" t="inlineStr">
        <is>
          <t>How to use</t>
        </is>
      </c>
      <c r="B3" s="2" t="inlineStr">
        <is>
          <t>Start with 01_First_Actions. Country views follow USA, UAE, Singapore, India and are ranked within country. 02_Prospects is the authoritative editable register; country views are static snapshots.</t>
        </is>
      </c>
    </row>
    <row r="4" ht="78" customHeight="1">
      <c r="A4" s="2" t="inlineStr">
        <is>
          <t>What success means</t>
        </is>
      </c>
      <c r="B4" s="2" t="inlineStr">
        <is>
          <t>Engagement outlook estimates useful screening / introduction / collaboration, not award probability. Capital outlook separately estimates route to cash at current stage. High / Medium / Low / Very low are analyst judgments, not measured acceptance rates.</t>
        </is>
      </c>
    </row>
    <row r="5" ht="78" customHeight="1">
      <c r="A5" s="2" t="inlineStr">
        <is>
          <t>Score</t>
        </is>
      </c>
      <c r="B5" s="2" t="inlineStr">
        <is>
          <t>Relevance 1–5 (50%) + accessibility 1–5 (30%) + readiness 1–5 (20%); total out of 100. Scores are prioritization judgments, not statistical probabilities. Blocked/watch routes are sequenced after actionable contacts regardless of score.</t>
        </is>
      </c>
    </row>
    <row r="6" ht="78" customHeight="1">
      <c r="A6" s="2" t="inlineStr">
        <is>
          <t>Country order</t>
        </is>
      </c>
      <c r="B6" s="2" t="inlineStr">
        <is>
          <t>Country order is the user preference, not a claim that USA has higher funding probability. First Actions contains actionable contacts across all four countries in that order.</t>
        </is>
      </c>
    </row>
    <row r="7" ht="78" customHeight="1">
      <c r="A7" s="2" t="inlineStr">
        <is>
          <t>Cash discipline</t>
        </is>
      </c>
      <c r="B7" s="2" t="inlineStr">
        <is>
          <t>Cloud credits, restricted vouchers, customer incentives, academic collaborations and consortium membership are separate from unrestricted cash. Do not sum advertised maximum benefits as a fundraising pipeline.</t>
        </is>
      </c>
    </row>
    <row r="8" ht="78" customHeight="1">
      <c r="A8" s="2" t="inlineStr">
        <is>
          <t>Company assumptions</t>
        </is>
      </c>
      <c r="B8" s="2" t="inlineStr">
        <is>
          <t>Inspironics Corporation: NJ corporation formed Nov 2017; pre-revenue per user; India consultant delivery; four platforms / three applications / OS engines. IIL and cross-border licensed/joint IP. These are session assumptions, not independently verified corporate filings.</t>
        </is>
      </c>
    </row>
    <row r="9" ht="78" customHeight="1">
      <c r="A9" s="2" t="inlineStr">
        <is>
          <t>Pitch focus</t>
        </is>
      </c>
      <c r="B9" s="2" t="inlineStr">
        <is>
          <t>Lead with one investable wedge: CK/FleetXplorer + ESG AIoT delivering measured energy, water, AQ and asset reliability outcomes. Expand to Xenia/Domi/Cielo only when relevant. Avoid a first-call pitch of all products and engines.</t>
        </is>
      </c>
    </row>
    <row r="10" ht="78" customHeight="1">
      <c r="A10" s="2" t="inlineStr">
        <is>
          <t>IP diligence</t>
        </is>
      </c>
      <c r="B10" s="2" t="inlineStr">
        <is>
          <t>Map each target product to owner, contributor assignments, US/IIL licenses, sublicensing rights and customer revenues. US-platform ownership and IIL-engine ownership must be explicit before investment diligence.</t>
        </is>
      </c>
    </row>
    <row r="11" ht="78" customHeight="1">
      <c r="A11" s="2" t="inlineStr">
        <is>
          <t>Co.Lab interpretation</t>
        </is>
      </c>
      <c r="B11" s="2" t="inlineStr">
        <is>
          <t>CO.LAB is interpreted as The Company Lab, Chattanooga. Its official energy accelerator is verified. It is not assumed to be an unconditional grant.</t>
        </is>
      </c>
    </row>
    <row r="12" ht="78" customHeight="1">
      <c r="A12" s="2" t="inlineStr">
        <is>
          <t>Verification levels</t>
        </is>
      </c>
      <c r="B12" s="2" t="inlineStr">
        <is>
          <t>Official programme/organization page or official government listing reviewed. Email is used only when published in retrieved official sources. A contact form or role route is supplied when a direct email is unavailable. Contactability/deliverability has not been tested.</t>
        </is>
      </c>
    </row>
    <row r="13" ht="78" customHeight="1">
      <c r="A13" s="2" t="inlineStr">
        <is>
          <t>Open versus listed</t>
        </is>
      </c>
      <c r="B13" s="2" t="inlineStr">
        <is>
          <t>A live webpage is not proof of an open funding round. Status distinguishes open applications, published programmes, closed historical rounds and unverified next intakes. Confirm current terms on first contact.</t>
        </is>
      </c>
    </row>
    <row r="14" ht="78" customHeight="1">
      <c r="A14" s="2" t="inlineStr">
        <is>
          <t>PE treatment</t>
        </is>
      </c>
      <c r="B14" s="2" t="inlineStr">
        <is>
          <t>Authentic PE firms are included because requested. Their very low direct funding outlook is an analyst stage-fit judgment; portfolio pilots and eventual strategic relationships are the practical near-term ask.</t>
        </is>
      </c>
    </row>
    <row r="15" ht="78" customHeight="1">
      <c r="A15" s="2" t="inlineStr">
        <is>
          <t>Outreach boundaries</t>
        </is>
      </c>
      <c r="B15" s="2" t="inlineStr">
        <is>
          <t>No messages or applications have been sent. Proposed owner assignments and asks are editable recommendations, not existing commitments. Use official domains and confirm terms directly.</t>
        </is>
      </c>
    </row>
    <row r="16" ht="78" customHeight="1">
      <c r="A16" s="2" t="inlineStr">
        <is>
          <t>Meris import</t>
        </is>
      </c>
      <c r="B16" s="2" t="inlineStr">
        <is>
          <t>12_Meris_Import supplies one row per prospect with stable IDs, flat snake_case columns, source/date, scores and next action. This is a proposed import contract; compatibility with unseen Meris software is not tested.</t>
        </is>
      </c>
    </row>
    <row r="17" ht="78" customHeight="1">
      <c r="A17" s="2" t="inlineStr">
        <is>
          <t>Refresh</t>
        </is>
      </c>
      <c r="B17" s="2" t="inlineStr">
        <is>
          <t>Recheck deadline, contact and eligibility immediately before submission; review priority rows every 30 days and sources after 90 days. Do not copy old funding amounts into new calls.</t>
        </is>
      </c>
    </row>
  </sheetData>
  <autoFilter ref="A1:B1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07F86"/>
    <outlinePr summaryBelow="1" summaryRight="1"/>
    <pageSetUpPr fitToPage="1"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35" customWidth="1" min="4" max="4"/>
    <col width="35" customWidth="1" min="5" max="5"/>
    <col width="26" customWidth="1" min="6" max="6"/>
    <col width="26" customWidth="1" min="7" max="7"/>
    <col width="44" customWidth="1" min="8" max="8"/>
    <col width="68" customWidth="1" min="9" max="9"/>
    <col width="38" customWidth="1" min="10" max="10"/>
    <col width="26" customWidth="1" min="11" max="11"/>
    <col width="45" customWidth="1" min="12" max="12"/>
  </cols>
  <sheetData>
    <row r="1" ht="32" customHeight="1">
      <c r="A1" s="1" t="inlineStr">
        <is>
          <t>Sequence</t>
        </is>
      </c>
      <c r="B1" s="1" t="inlineStr">
        <is>
          <t>Prospect ID</t>
        </is>
      </c>
      <c r="C1" s="1" t="inlineStr">
        <is>
          <t>Country</t>
        </is>
      </c>
      <c r="D1" s="1" t="inlineStr">
        <is>
          <t>Organization</t>
        </is>
      </c>
      <c r="E1" s="1" t="inlineStr">
        <is>
          <t>Purpose</t>
        </is>
      </c>
      <c r="F1" s="1" t="inlineStr">
        <is>
          <t>Engagement outlook</t>
        </is>
      </c>
      <c r="G1" s="1" t="inlineStr">
        <is>
          <t>Cash outlook</t>
        </is>
      </c>
      <c r="H1" s="1" t="inlineStr">
        <is>
          <t>Contact</t>
        </is>
      </c>
      <c r="I1" s="1" t="inlineStr">
        <is>
          <t>First ask</t>
        </is>
      </c>
      <c r="J1" s="1" t="inlineStr">
        <is>
          <t>Recommended lead</t>
        </is>
      </c>
      <c r="K1" s="1" t="inlineStr">
        <is>
          <t>Target first contact</t>
        </is>
      </c>
      <c r="L1" s="1" t="inlineStr">
        <is>
          <t>Success milestone</t>
        </is>
      </c>
    </row>
    <row r="2" ht="78" customHeight="1">
      <c r="A2" s="2" t="n">
        <v>1</v>
      </c>
      <c r="B2" s="2" t="inlineStr">
        <is>
          <t>CC-001</t>
        </is>
      </c>
      <c r="C2" s="2" t="inlineStr">
        <is>
          <t>USA</t>
        </is>
      </c>
      <c r="D2" s="2" t="inlineStr">
        <is>
          <t>AWS Activate</t>
        </is>
      </c>
      <c r="E2" s="2" t="inlineStr">
        <is>
          <t>Non-cash credits</t>
        </is>
      </c>
      <c r="F2" s="2" t="inlineStr">
        <is>
          <t>High</t>
        </is>
      </c>
      <c r="G2" s="2" t="inlineStr">
        <is>
          <t>No unrestricted cash</t>
        </is>
      </c>
      <c r="H2" s="2" t="inlineStr">
        <is>
          <t>AWS Activate application team</t>
        </is>
      </c>
      <c r="I2" s="2" t="inlineStr">
        <is>
          <t>Check prior credits, then apply for appropriate tier to support CK/ESG/Yardos demos.</t>
        </is>
      </c>
      <c r="J2" s="2" t="inlineStr">
        <is>
          <t>Senthil + Dr. Vijendran (proposed)</t>
        </is>
      </c>
      <c r="K2" s="2" t="inlineStr">
        <is>
          <t>7–13 Oct 2026</t>
        </is>
      </c>
      <c r="L2" s="2" t="inlineStr">
        <is>
          <t>Obtain fit/eligibility response and named next step</t>
        </is>
      </c>
    </row>
    <row r="3" ht="78" customHeight="1">
      <c r="A3" s="2" t="n">
        <v>2</v>
      </c>
      <c r="B3" s="2" t="inlineStr">
        <is>
          <t>CC-002</t>
        </is>
      </c>
      <c r="C3" s="2" t="inlineStr">
        <is>
          <t>USA</t>
        </is>
      </c>
      <c r="D3" s="2" t="inlineStr">
        <is>
          <t>CO.LAB / The Company Lab</t>
        </is>
      </c>
      <c r="E3" s="2" t="inlineStr">
        <is>
          <t>Mentoring / pilots; capital terms to confirm</t>
        </is>
      </c>
      <c r="F3" s="2" t="inlineStr">
        <is>
          <t>High</t>
        </is>
      </c>
      <c r="G3" s="2" t="inlineStr">
        <is>
          <t>No direct cash confirmed</t>
        </is>
      </c>
      <c r="H3" s="2" t="inlineStr">
        <is>
          <t>info@colab.is | +1 423-281-0811</t>
        </is>
      </c>
      <c r="I3" s="2" t="inlineStr">
        <is>
          <t>Request energy-cohort screening and utility/industrial pilot introductions for CK + ESG AIoT.</t>
        </is>
      </c>
      <c r="J3" s="2" t="inlineStr">
        <is>
          <t>Senthil + Dr. Vijendran (proposed)</t>
        </is>
      </c>
      <c r="K3" s="2" t="inlineStr">
        <is>
          <t>7–13 Oct 2026</t>
        </is>
      </c>
      <c r="L3" s="2" t="inlineStr">
        <is>
          <t>Obtain fit/eligibility response and named next step</t>
        </is>
      </c>
    </row>
    <row r="4" ht="78" customHeight="1">
      <c r="A4" s="2" t="n">
        <v>3</v>
      </c>
      <c r="B4" s="2" t="inlineStr">
        <is>
          <t>CC-003</t>
        </is>
      </c>
      <c r="C4" s="2" t="inlineStr">
        <is>
          <t>USA</t>
        </is>
      </c>
      <c r="D4" s="2" t="inlineStr">
        <is>
          <t>Rutgers EcoComplex</t>
        </is>
      </c>
      <c r="E4" s="2" t="inlineStr">
        <is>
          <t>Validation / facilities / introductions</t>
        </is>
      </c>
      <c r="F4" s="2" t="inlineStr">
        <is>
          <t>High</t>
        </is>
      </c>
      <c r="G4" s="2" t="inlineStr">
        <is>
          <t>No direct cash confirmed</t>
        </is>
      </c>
      <c r="H4" s="2" t="inlineStr">
        <is>
          <t>ecocomplex@njaes.rutgers.edu</t>
        </is>
      </c>
      <c r="I4" s="2" t="inlineStr">
        <is>
          <t>Request lab validation scope for energy/AQ/water and vertical-farm monitoring.</t>
        </is>
      </c>
      <c r="J4" s="2" t="inlineStr">
        <is>
          <t>Dr. Vijendran + Kumar (proposed)</t>
        </is>
      </c>
      <c r="K4" s="2" t="inlineStr">
        <is>
          <t>7–13 Oct 2026</t>
        </is>
      </c>
      <c r="L4" s="2" t="inlineStr">
        <is>
          <t>Obtain fit/eligibility response and named next step</t>
        </is>
      </c>
    </row>
    <row r="5" ht="78" customHeight="1">
      <c r="A5" s="2" t="n">
        <v>4</v>
      </c>
      <c r="B5" s="2" t="inlineStr">
        <is>
          <t>CC-004</t>
        </is>
      </c>
      <c r="C5" s="2" t="inlineStr">
        <is>
          <t>USA</t>
        </is>
      </c>
      <c r="D5" s="2" t="inlineStr">
        <is>
          <t>AHLA / HTNG AI Community</t>
        </is>
      </c>
      <c r="E5" s="2" t="inlineStr">
        <is>
          <t>Standards / buyer access; no direct capital</t>
        </is>
      </c>
      <c r="F5" s="2" t="inlineStr">
        <is>
          <t>High</t>
        </is>
      </c>
      <c r="G5" s="2" t="inlineStr">
        <is>
          <t>No direct cash confirmed</t>
        </is>
      </c>
      <c r="H5" s="2" t="inlineStr">
        <is>
          <t>Darrel Hugh | dhugh@ahla.com</t>
        </is>
      </c>
      <c r="I5" s="2" t="inlineStr">
        <is>
          <t>Request interoperability/AI working-group access and hotel pilot introductions.</t>
        </is>
      </c>
      <c r="J5" s="2" t="inlineStr">
        <is>
          <t>Senthil + Balaji + Surya (proposed)</t>
        </is>
      </c>
      <c r="K5" s="2" t="inlineStr">
        <is>
          <t>7–13 Oct 2026</t>
        </is>
      </c>
      <c r="L5" s="2" t="inlineStr">
        <is>
          <t>Obtain fit/eligibility response and named next step</t>
        </is>
      </c>
    </row>
    <row r="6" ht="78" customHeight="1">
      <c r="A6" s="2" t="n">
        <v>5</v>
      </c>
      <c r="B6" s="2" t="inlineStr">
        <is>
          <t>CC-005</t>
        </is>
      </c>
      <c r="C6" s="2" t="inlineStr">
        <is>
          <t>USA</t>
        </is>
      </c>
      <c r="D6" s="2" t="inlineStr">
        <is>
          <t>PSE&amp;G Energy Management / Trade Ally</t>
        </is>
      </c>
      <c r="E6" s="2" t="inlineStr">
        <is>
          <t>Customer incentives / delivery channel</t>
        </is>
      </c>
      <c r="F6" s="2" t="inlineStr">
        <is>
          <t>High</t>
        </is>
      </c>
      <c r="G6" s="2" t="inlineStr">
        <is>
          <t>No direct cash confirmed</t>
        </is>
      </c>
      <c r="H6" s="2" t="inlineStr">
        <is>
          <t>PSEG-CleanEnergy@pseg.com</t>
        </is>
      </c>
      <c r="I6" s="2" t="inlineStr">
        <is>
          <t>Ask whether CK monitoring can qualify through an approved commissioning/ESCO partner.</t>
        </is>
      </c>
      <c r="J6" s="2" t="inlineStr">
        <is>
          <t>Senthil + Balaji + Surya (proposed)</t>
        </is>
      </c>
      <c r="K6" s="2" t="inlineStr">
        <is>
          <t>7–13 Oct 2026</t>
        </is>
      </c>
      <c r="L6" s="2" t="inlineStr">
        <is>
          <t>Obtain fit/eligibility response and named next step</t>
        </is>
      </c>
    </row>
    <row r="7" ht="78" customHeight="1">
      <c r="A7" s="2" t="n">
        <v>6</v>
      </c>
      <c r="B7" s="2" t="inlineStr">
        <is>
          <t>CC-019</t>
        </is>
      </c>
      <c r="C7" s="2" t="inlineStr">
        <is>
          <t>UAE</t>
        </is>
      </c>
      <c r="D7" s="2" t="inlineStr">
        <is>
          <t>MBRIF Innovation Accelerator</t>
        </is>
      </c>
      <c r="E7" s="2" t="inlineStr">
        <is>
          <t>Non-equity services / market access</t>
        </is>
      </c>
      <c r="F7" s="2" t="inlineStr">
        <is>
          <t>High</t>
        </is>
      </c>
      <c r="G7" s="2" t="inlineStr">
        <is>
          <t>No direct cash confirmed</t>
        </is>
      </c>
      <c r="H7" s="2" t="inlineStr">
        <is>
          <t>contact@mbrif.mof.gov.ae</t>
        </is>
      </c>
      <c r="I7" s="2" t="inlineStr">
        <is>
          <t>Ask current intake and energy/water pilot support using YesTechnik UAE entry plan.</t>
        </is>
      </c>
      <c r="J7" s="2" t="inlineStr">
        <is>
          <t>Senthil + Dr. Vijendran (proposed)</t>
        </is>
      </c>
      <c r="K7" s="2" t="inlineStr">
        <is>
          <t>7–13 Oct 2026</t>
        </is>
      </c>
      <c r="L7" s="2" t="inlineStr">
        <is>
          <t>Obtain fit/eligibility response and named next step</t>
        </is>
      </c>
    </row>
    <row r="8" ht="78" customHeight="1">
      <c r="A8" s="2" t="n">
        <v>7</v>
      </c>
      <c r="B8" s="2" t="inlineStr">
        <is>
          <t>CC-020</t>
        </is>
      </c>
      <c r="C8" s="2" t="inlineStr">
        <is>
          <t>UAE</t>
        </is>
      </c>
      <c r="D8" s="2" t="inlineStr">
        <is>
          <t>Emirates Green Building Council</t>
        </is>
      </c>
      <c r="E8" s="2" t="inlineStr">
        <is>
          <t>Retrofit / hospitality network; no direct grant</t>
        </is>
      </c>
      <c r="F8" s="2" t="inlineStr">
        <is>
          <t>High</t>
        </is>
      </c>
      <c r="G8" s="2" t="inlineStr">
        <is>
          <t>No direct cash confirmed</t>
        </is>
      </c>
      <c r="H8" s="2" t="inlineStr">
        <is>
          <t>EEP / membership team through contact page</t>
        </is>
      </c>
      <c r="I8" s="2" t="inlineStr">
        <is>
          <t>Request hotel/building owner introductions for measured energy, comfort and AQ pilot.</t>
        </is>
      </c>
      <c r="J8" s="2" t="inlineStr">
        <is>
          <t>Senthil + Balaji + Surya (proposed)</t>
        </is>
      </c>
      <c r="K8" s="2" t="inlineStr">
        <is>
          <t>7–13 Oct 2026</t>
        </is>
      </c>
      <c r="L8" s="2" t="inlineStr">
        <is>
          <t>Obtain fit/eligibility response and named next step</t>
        </is>
      </c>
    </row>
    <row r="9" ht="78" customHeight="1">
      <c r="A9" s="2" t="n">
        <v>8</v>
      </c>
      <c r="B9" s="2" t="inlineStr">
        <is>
          <t>CC-021</t>
        </is>
      </c>
      <c r="C9" s="2" t="inlineStr">
        <is>
          <t>UAE</t>
        </is>
      </c>
      <c r="D9" s="2" t="inlineStr">
        <is>
          <t>NYU Abu Dhabi / startAD</t>
        </is>
      </c>
      <c r="E9" s="2" t="inlineStr">
        <is>
          <t>Corporate pilot matching / venture support</t>
        </is>
      </c>
      <c r="F9" s="2" t="inlineStr">
        <is>
          <t>High</t>
        </is>
      </c>
      <c r="G9" s="2" t="inlineStr">
        <is>
          <t>No direct cash confirmed</t>
        </is>
      </c>
      <c r="H9" s="2" t="inlineStr">
        <is>
          <t>startAD@nyu.edu</t>
        </is>
      </c>
      <c r="I9" s="2" t="inlineStr">
        <is>
          <t>Request next relevant corporate sprint and university-supported validation route.</t>
        </is>
      </c>
      <c r="J9" s="2" t="inlineStr">
        <is>
          <t>Dr. Vijendran + Kumar (proposed)</t>
        </is>
      </c>
      <c r="K9" s="2" t="inlineStr">
        <is>
          <t>7–13 Oct 2026</t>
        </is>
      </c>
      <c r="L9" s="2" t="inlineStr">
        <is>
          <t>Obtain fit/eligibility response and named next step</t>
        </is>
      </c>
    </row>
    <row r="10" ht="78" customHeight="1">
      <c r="A10" s="2" t="n">
        <v>9</v>
      </c>
      <c r="B10" s="2" t="inlineStr">
        <is>
          <t>CC-022</t>
        </is>
      </c>
      <c r="C10" s="2" t="inlineStr">
        <is>
          <t>UAE</t>
        </is>
      </c>
      <c r="D10" s="2" t="inlineStr">
        <is>
          <t>Hub71 Access</t>
        </is>
      </c>
      <c r="E10" s="2" t="inlineStr">
        <is>
          <t>Incentives; equity terms to confirm</t>
        </is>
      </c>
      <c r="F10" s="2" t="inlineStr">
        <is>
          <t>Medium</t>
        </is>
      </c>
      <c r="G10" s="2" t="inlineStr">
        <is>
          <t>No direct cash confirmed</t>
        </is>
      </c>
      <c r="H10" s="2" t="inlineStr">
        <is>
          <t>Access admissions via application form</t>
        </is>
      </c>
      <c r="I10" s="2" t="inlineStr">
        <is>
          <t>Request pre-revenue eligibility screening with MVP demo and Abu Dhabi pilot roadmap.</t>
        </is>
      </c>
      <c r="J10" s="2" t="inlineStr">
        <is>
          <t>Senthil + Dr. Vijendran (proposed)</t>
        </is>
      </c>
      <c r="K10" s="2" t="inlineStr">
        <is>
          <t>7–13 Oct 2026</t>
        </is>
      </c>
      <c r="L10" s="2" t="inlineStr">
        <is>
          <t>Obtain fit/eligibility response and named next step</t>
        </is>
      </c>
    </row>
    <row r="11" ht="78" customHeight="1">
      <c r="A11" s="2" t="n">
        <v>10</v>
      </c>
      <c r="B11" s="2" t="inlineStr">
        <is>
          <t>CC-023</t>
        </is>
      </c>
      <c r="C11" s="2" t="inlineStr">
        <is>
          <t>UAE</t>
        </is>
      </c>
      <c r="D11" s="2" t="inlineStr">
        <is>
          <t>Shorooq venture capital</t>
        </is>
      </c>
      <c r="E11" s="2" t="inlineStr">
        <is>
          <t>Equity</t>
        </is>
      </c>
      <c r="F11" s="2" t="inlineStr">
        <is>
          <t>Medium</t>
        </is>
      </c>
      <c r="G11" s="2" t="inlineStr">
        <is>
          <t>Low to medium / competitive</t>
        </is>
      </c>
      <c r="H11" s="2" t="inlineStr">
        <is>
          <t>VC investment team via official website</t>
        </is>
      </c>
      <c r="I11" s="2" t="inlineStr">
        <is>
          <t>Request pre-seed review for CK/ESG with UAE hotel and industrial deployment wedge.</t>
        </is>
      </c>
      <c r="J11" s="2" t="inlineStr">
        <is>
          <t>Senthil + Dr. Vijendran (proposed)</t>
        </is>
      </c>
      <c r="K11" s="2" t="inlineStr">
        <is>
          <t>7–13 Oct 2026</t>
        </is>
      </c>
      <c r="L11" s="2" t="inlineStr">
        <is>
          <t>Obtain fit/eligibility response and named next step</t>
        </is>
      </c>
    </row>
    <row r="12" ht="78" customHeight="1">
      <c r="A12" s="2" t="n">
        <v>11</v>
      </c>
      <c r="B12" s="2" t="inlineStr">
        <is>
          <t>CC-031</t>
        </is>
      </c>
      <c r="C12" s="2" t="inlineStr">
        <is>
          <t>Singapore</t>
        </is>
      </c>
      <c r="D12" s="2" t="inlineStr">
        <is>
          <t>NTU Energy Research Institute (ERI@N)</t>
        </is>
      </c>
      <c r="E12" s="2" t="inlineStr">
        <is>
          <t>Industry research collaboration</t>
        </is>
      </c>
      <c r="F12" s="2" t="inlineStr">
        <is>
          <t>High</t>
        </is>
      </c>
      <c r="G12" s="2" t="inlineStr">
        <is>
          <t>No direct cash confirmed</t>
        </is>
      </c>
      <c r="H12" s="2" t="inlineStr">
        <is>
          <t>d-erian@ntu.edu.sg | +65 6592 1786</t>
        </is>
      </c>
      <c r="I12" s="2" t="inlineStr">
        <is>
          <t>Request measured energy optimization validation and joint GBIC scoping.</t>
        </is>
      </c>
      <c r="J12" s="2" t="inlineStr">
        <is>
          <t>Dr. Vijendran + Kumar (proposed)</t>
        </is>
      </c>
      <c r="K12" s="2" t="inlineStr">
        <is>
          <t>7–13 Oct 2026</t>
        </is>
      </c>
      <c r="L12" s="2" t="inlineStr">
        <is>
          <t>Obtain fit/eligibility response and named next step</t>
        </is>
      </c>
    </row>
    <row r="13" ht="78" customHeight="1">
      <c r="A13" s="2" t="n">
        <v>12</v>
      </c>
      <c r="B13" s="2" t="inlineStr">
        <is>
          <t>CC-032</t>
        </is>
      </c>
      <c r="C13" s="2" t="inlineStr">
        <is>
          <t>Singapore</t>
        </is>
      </c>
      <c r="D13" s="2" t="inlineStr">
        <is>
          <t>A*STAR ARTC</t>
        </is>
      </c>
      <c r="E13" s="2" t="inlineStr">
        <is>
          <t>Co-development / manufacturing testbed</t>
        </is>
      </c>
      <c r="F13" s="2" t="inlineStr">
        <is>
          <t>High</t>
        </is>
      </c>
      <c r="G13" s="2" t="inlineStr">
        <is>
          <t>No direct cash confirmed</t>
        </is>
      </c>
      <c r="H13" s="2" t="inlineStr">
        <is>
          <t>artc_techbiz_admin@a-star.edu.sg</t>
        </is>
      </c>
      <c r="I13" s="2" t="inlineStr">
        <is>
          <t>Request startup-tier access and a PdM/OEE demonstrator with manufacturing member.</t>
        </is>
      </c>
      <c r="J13" s="2" t="inlineStr">
        <is>
          <t>Senthil + Balaji + Surya (proposed)</t>
        </is>
      </c>
      <c r="K13" s="2" t="inlineStr">
        <is>
          <t>7–13 Oct 2026</t>
        </is>
      </c>
      <c r="L13" s="2" t="inlineStr">
        <is>
          <t>Obtain fit/eligibility response and named next step</t>
        </is>
      </c>
    </row>
    <row r="14" ht="78" customHeight="1">
      <c r="A14" s="2" t="n">
        <v>13</v>
      </c>
      <c r="B14" s="2" t="inlineStr">
        <is>
          <t>CC-033</t>
        </is>
      </c>
      <c r="C14" s="2" t="inlineStr">
        <is>
          <t>Singapore</t>
        </is>
      </c>
      <c r="D14" s="2" t="inlineStr">
        <is>
          <t>Wavemaker Ventures</t>
        </is>
      </c>
      <c r="E14" s="2" t="inlineStr">
        <is>
          <t>Equity</t>
        </is>
      </c>
      <c r="F14" s="2" t="inlineStr">
        <is>
          <t>Medium</t>
        </is>
      </c>
      <c r="G14" s="2" t="inlineStr">
        <is>
          <t>Low to medium / competitive</t>
        </is>
      </c>
      <c r="H14" s="2" t="inlineStr">
        <is>
          <t>Pitch team via official contact form; warm intro preferred</t>
        </is>
      </c>
      <c r="I14" s="2" t="inlineStr">
        <is>
          <t>Use Dr. Vijendran network where available for CK/ESG first-institutional-round introduction.</t>
        </is>
      </c>
      <c r="J14" s="2" t="inlineStr">
        <is>
          <t>Senthil + Dr. Vijendran (proposed)</t>
        </is>
      </c>
      <c r="K14" s="2" t="inlineStr">
        <is>
          <t>7–13 Oct 2026</t>
        </is>
      </c>
      <c r="L14" s="2" t="inlineStr">
        <is>
          <t>Obtain fit/eligibility response and named next step</t>
        </is>
      </c>
    </row>
    <row r="15" ht="78" customHeight="1">
      <c r="A15" s="2" t="n">
        <v>14</v>
      </c>
      <c r="B15" s="2" t="inlineStr">
        <is>
          <t>CC-034</t>
        </is>
      </c>
      <c r="C15" s="2" t="inlineStr">
        <is>
          <t>Singapore</t>
        </is>
      </c>
      <c r="D15" s="2" t="inlineStr">
        <is>
          <t>BCA Green Buildings Innovation Cluster</t>
        </is>
      </c>
      <c r="E15" s="2" t="inlineStr">
        <is>
          <t>Co-funded R&amp;D / product prototyping</t>
        </is>
      </c>
      <c r="F15" s="2" t="inlineStr">
        <is>
          <t>Medium</t>
        </is>
      </c>
      <c r="G15" s="2" t="inlineStr">
        <is>
          <t>No direct cash confirmed</t>
        </is>
      </c>
      <c r="H15" s="2" t="inlineStr">
        <is>
          <t>BCA_GBIC@bca.gov.sg</t>
        </is>
      </c>
      <c r="I15" s="2" t="inlineStr">
        <is>
          <t>Request scoping call with NTU/SUTD plus building owner for CK controls/AQ pilot.</t>
        </is>
      </c>
      <c r="J15" s="2" t="inlineStr">
        <is>
          <t>Senthil + Dr. Vijendran (proposed)</t>
        </is>
      </c>
      <c r="K15" s="2" t="inlineStr">
        <is>
          <t>7–13 Oct 2026</t>
        </is>
      </c>
      <c r="L15" s="2" t="inlineStr">
        <is>
          <t>Obtain fit/eligibility response and named next step</t>
        </is>
      </c>
    </row>
    <row r="16" ht="78" customHeight="1">
      <c r="A16" s="2" t="n">
        <v>15</v>
      </c>
      <c r="B16" s="2" t="inlineStr">
        <is>
          <t>CC-035</t>
        </is>
      </c>
      <c r="C16" s="2" t="inlineStr">
        <is>
          <t>Singapore</t>
        </is>
      </c>
      <c r="D16" s="2" t="inlineStr">
        <is>
          <t>SUTD industry collaborations</t>
        </is>
      </c>
      <c r="E16" s="2" t="inlineStr">
        <is>
          <t>Research / capstone / licensing</t>
        </is>
      </c>
      <c r="F16" s="2" t="inlineStr">
        <is>
          <t>High</t>
        </is>
      </c>
      <c r="G16" s="2" t="inlineStr">
        <is>
          <t>No direct cash confirmed</t>
        </is>
      </c>
      <c r="H16" s="2" t="inlineStr">
        <is>
          <t>partnerships@sutd.edu.sg</t>
        </is>
      </c>
      <c r="I16" s="2" t="inlineStr">
        <is>
          <t>Request sensor-to-digital-twin research/capstone brief for a building pilot.</t>
        </is>
      </c>
      <c r="J16" s="2" t="inlineStr">
        <is>
          <t>Dr. Vijendran + Kumar (proposed)</t>
        </is>
      </c>
      <c r="K16" s="2" t="inlineStr">
        <is>
          <t>7–13 Oct 2026</t>
        </is>
      </c>
      <c r="L16" s="2" t="inlineStr">
        <is>
          <t>Obtain fit/eligibility response and named next step</t>
        </is>
      </c>
    </row>
    <row r="17" ht="78" customHeight="1">
      <c r="A17" s="2" t="n">
        <v>16</v>
      </c>
      <c r="B17" s="2" t="inlineStr">
        <is>
          <t>CC-042</t>
        </is>
      </c>
      <c r="C17" s="2" t="inlineStr">
        <is>
          <t>India</t>
        </is>
      </c>
      <c r="D17" s="2" t="inlineStr">
        <is>
          <t>IIT Madras Research Park Energy &amp; Sustainability</t>
        </is>
      </c>
      <c r="E17" s="2" t="inlineStr">
        <is>
          <t>Validation / industry co-development</t>
        </is>
      </c>
      <c r="F17" s="2" t="inlineStr">
        <is>
          <t>High</t>
        </is>
      </c>
      <c r="G17" s="2" t="inlineStr">
        <is>
          <t>No direct cash confirmed</t>
        </is>
      </c>
      <c r="H17" s="2" t="inlineStr">
        <is>
          <t>energy@respark.iitm.ac.in</t>
        </is>
      </c>
      <c r="I17" s="2" t="inlineStr">
        <is>
          <t>Request CK/ESG measurement-validation partner and industrial energy pilot.</t>
        </is>
      </c>
      <c r="J17" s="2" t="inlineStr">
        <is>
          <t>Dr. Vijendran + Kumar (proposed)</t>
        </is>
      </c>
      <c r="K17" s="2" t="inlineStr">
        <is>
          <t>7–13 Oct 2026</t>
        </is>
      </c>
      <c r="L17" s="2" t="inlineStr">
        <is>
          <t>Obtain fit/eligibility response and named next step</t>
        </is>
      </c>
    </row>
    <row r="18" ht="78" customHeight="1">
      <c r="A18" s="2" t="n">
        <v>17</v>
      </c>
      <c r="B18" s="2" t="inlineStr">
        <is>
          <t>CC-043</t>
        </is>
      </c>
      <c r="C18" s="2" t="inlineStr">
        <is>
          <t>India</t>
        </is>
      </c>
      <c r="D18" s="2" t="inlineStr">
        <is>
          <t>IIT Madras Incubation Cell</t>
        </is>
      </c>
      <c r="E18" s="2" t="inlineStr">
        <is>
          <t>Incubation / investor introductions</t>
        </is>
      </c>
      <c r="F18" s="2" t="inlineStr">
        <is>
          <t>High</t>
        </is>
      </c>
      <c r="G18" s="2" t="inlineStr">
        <is>
          <t>No direct cash confirmed</t>
        </is>
      </c>
      <c r="H18" s="2" t="inlineStr">
        <is>
          <t>office@incubation.iitm.ac.in</t>
        </is>
      </c>
      <c r="I18" s="2" t="inlineStr">
        <is>
          <t>Ask admission fit for IIL/US licensed-IP structure and available seed routes.</t>
        </is>
      </c>
      <c r="J18" s="2" t="inlineStr">
        <is>
          <t>Dr. Vijendran + Kumar (proposed)</t>
        </is>
      </c>
      <c r="K18" s="2" t="inlineStr">
        <is>
          <t>7–13 Oct 2026</t>
        </is>
      </c>
      <c r="L18" s="2" t="inlineStr">
        <is>
          <t>Obtain fit/eligibility response and named next step</t>
        </is>
      </c>
    </row>
    <row r="19" ht="78" customHeight="1">
      <c r="A19" s="2" t="n">
        <v>18</v>
      </c>
      <c r="B19" s="2" t="inlineStr">
        <is>
          <t>CC-044</t>
        </is>
      </c>
      <c r="C19" s="2" t="inlineStr">
        <is>
          <t>India</t>
        </is>
      </c>
      <c r="D19" s="2" t="inlineStr">
        <is>
          <t>MeitY–nasscom CoE IoT &amp; AI</t>
        </is>
      </c>
      <c r="E19" s="2" t="inlineStr">
        <is>
          <t>Incubation / industry problem matching</t>
        </is>
      </c>
      <c r="F19" s="2" t="inlineStr">
        <is>
          <t>High</t>
        </is>
      </c>
      <c r="G19" s="2" t="inlineStr">
        <is>
          <t>No direct cash confirmed</t>
        </is>
      </c>
      <c r="H19" s="2" t="inlineStr">
        <is>
          <t>coe-iot@nasscom.in</t>
        </is>
      </c>
      <c r="I19" s="2" t="inlineStr">
        <is>
          <t>Request corporate pilot matchmaking for industrial anomaly/PdM and infrastructure ESG.</t>
        </is>
      </c>
      <c r="J19" s="2" t="inlineStr">
        <is>
          <t>Senthil + Dr. Vijendran (proposed)</t>
        </is>
      </c>
      <c r="K19" s="2" t="inlineStr">
        <is>
          <t>7–13 Oct 2026</t>
        </is>
      </c>
      <c r="L19" s="2" t="inlineStr">
        <is>
          <t>Obtain fit/eligibility response and named next step</t>
        </is>
      </c>
    </row>
    <row r="20" ht="78" customHeight="1">
      <c r="A20" s="2" t="n">
        <v>19</v>
      </c>
      <c r="B20" s="2" t="inlineStr">
        <is>
          <t>CC-045</t>
        </is>
      </c>
      <c r="C20" s="2" t="inlineStr">
        <is>
          <t>India</t>
        </is>
      </c>
      <c r="D20" s="2" t="inlineStr">
        <is>
          <t>CII Indian Green Building Council</t>
        </is>
      </c>
      <c r="E20" s="2" t="inlineStr">
        <is>
          <t>Owner network / certification; no seed capital</t>
        </is>
      </c>
      <c r="F20" s="2" t="inlineStr">
        <is>
          <t>High</t>
        </is>
      </c>
      <c r="G20" s="2" t="inlineStr">
        <is>
          <t>No direct cash confirmed</t>
        </is>
      </c>
      <c r="H20" s="2" t="inlineStr">
        <is>
          <t>igbc@cii.in</t>
        </is>
      </c>
      <c r="I20" s="2" t="inlineStr">
        <is>
          <t>Ask Tamil Nadu pilot-owner and consultant introductions for energy/AQ/comfort measurements.</t>
        </is>
      </c>
      <c r="J20" s="2" t="inlineStr">
        <is>
          <t>Senthil + Balaji + Surya (proposed)</t>
        </is>
      </c>
      <c r="K20" s="2" t="inlineStr">
        <is>
          <t>7–13 Oct 2026</t>
        </is>
      </c>
      <c r="L20" s="2" t="inlineStr">
        <is>
          <t>Obtain fit/eligibility response and named next step</t>
        </is>
      </c>
    </row>
    <row r="21" ht="78" customHeight="1">
      <c r="A21" s="2" t="n">
        <v>20</v>
      </c>
      <c r="B21" s="2" t="inlineStr">
        <is>
          <t>CC-046</t>
        </is>
      </c>
      <c r="C21" s="2" t="inlineStr">
        <is>
          <t>India</t>
        </is>
      </c>
      <c r="D21" s="2" t="inlineStr">
        <is>
          <t>Transition VC</t>
        </is>
      </c>
      <c r="E21" s="2" t="inlineStr">
        <is>
          <t>Equity</t>
        </is>
      </c>
      <c r="F21" s="2" t="inlineStr">
        <is>
          <t>Medium</t>
        </is>
      </c>
      <c r="G21" s="2" t="inlineStr">
        <is>
          <t>Low to medium / competitive</t>
        </is>
      </c>
      <c r="H21" s="2" t="inlineStr">
        <is>
          <t>Investment team via contact form</t>
        </is>
      </c>
      <c r="I21" s="2" t="inlineStr">
        <is>
          <t>Pitch one industrial/building conservation wedge and first paid-pilot milestones.</t>
        </is>
      </c>
      <c r="J21" s="2" t="inlineStr">
        <is>
          <t>Senthil + Dr. Vijendran (proposed)</t>
        </is>
      </c>
      <c r="K21" s="2" t="inlineStr">
        <is>
          <t>7–13 Oct 2026</t>
        </is>
      </c>
      <c r="L21" s="2" t="inlineStr">
        <is>
          <t>Obtain fit/eligibility response and named next step</t>
        </is>
      </c>
    </row>
  </sheetData>
  <autoFilter ref="A1:L2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07F86"/>
    <outlinePr summaryBelow="1" summaryRight="1"/>
    <pageSetUpPr fitToPage="1"/>
  </sheetPr>
  <dimension ref="A1:X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34" customWidth="1" min="4" max="4"/>
    <col width="26" customWidth="1" min="5" max="5"/>
    <col width="26" customWidth="1" min="6" max="6"/>
    <col width="34" customWidth="1" min="7" max="7"/>
    <col width="3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62" customWidth="1" min="16" max="16"/>
    <col width="45" customWidth="1" min="17" max="17"/>
    <col width="44" customWidth="1" min="18" max="18"/>
    <col width="48" customWidth="1" min="19" max="19"/>
    <col width="45" customWidth="1" min="20" max="20"/>
    <col width="62" customWidth="1" min="21" max="21"/>
    <col width="50" customWidth="1" min="22" max="22"/>
    <col width="48" customWidth="1" min="23" max="23"/>
    <col width="17" customWidth="1" min="24" max="24"/>
  </cols>
  <sheetData>
    <row r="1" ht="32" customHeight="1">
      <c r="A1" s="1" t="inlineStr">
        <is>
          <t>Prospect ID</t>
        </is>
      </c>
      <c r="B1" s="1" t="inlineStr">
        <is>
          <t>Country</t>
        </is>
      </c>
      <c r="C1" s="1" t="inlineStr">
        <is>
          <t>Country rank</t>
        </is>
      </c>
      <c r="D1" s="1" t="inlineStr">
        <is>
          <t>Organization / programme</t>
        </is>
      </c>
      <c r="E1" s="1" t="inlineStr">
        <is>
          <t>Category</t>
        </is>
      </c>
      <c r="F1" s="1" t="inlineStr">
        <is>
          <t>Instrument</t>
        </is>
      </c>
      <c r="G1" s="1" t="inlineStr">
        <is>
          <t>Relevant vertical / product</t>
        </is>
      </c>
      <c r="H1" s="1" t="inlineStr">
        <is>
          <t>Pre-revenue stage evidence</t>
        </is>
      </c>
      <c r="I1" s="1" t="inlineStr">
        <is>
          <t>Route</t>
        </is>
      </c>
      <c r="J1" s="1" t="inlineStr">
        <is>
          <t>Engagement outlook</t>
        </is>
      </c>
      <c r="K1" s="1" t="inlineStr">
        <is>
          <t>Direct cash outlook</t>
        </is>
      </c>
      <c r="L1" s="1" t="inlineStr">
        <is>
          <t>Relevance (1-5)</t>
        </is>
      </c>
      <c r="M1" s="1" t="inlineStr">
        <is>
          <t>Accessibility (1-5)</t>
        </is>
      </c>
      <c r="N1" s="1" t="inlineStr">
        <is>
          <t>Readiness (1-5)</t>
        </is>
      </c>
      <c r="O1" s="1" t="inlineStr">
        <is>
          <t>Priority score /100</t>
        </is>
      </c>
      <c r="P1" s="1" t="inlineStr">
        <is>
          <t>Eligibility / blockers</t>
        </is>
      </c>
      <c r="Q1" s="1" t="inlineStr">
        <is>
          <t>Current status</t>
        </is>
      </c>
      <c r="R1" s="1" t="inlineStr">
        <is>
          <t>Public contact / team</t>
        </is>
      </c>
      <c r="S1" s="1" t="inlineStr">
        <is>
          <t>Contact / apply URL</t>
        </is>
      </c>
      <c r="T1" s="1" t="inlineStr">
        <is>
          <t>Published benefit / terms</t>
        </is>
      </c>
      <c r="U1" s="1" t="inlineStr">
        <is>
          <t>Tailored first ask</t>
        </is>
      </c>
      <c r="V1" s="1" t="inlineStr">
        <is>
          <t>Evidence summary</t>
        </is>
      </c>
      <c r="W1" s="1" t="inlineStr">
        <is>
          <t>Official source URL</t>
        </is>
      </c>
      <c r="X1" s="1" t="inlineStr">
        <is>
          <t>Checked date</t>
        </is>
      </c>
    </row>
    <row r="2" ht="78" customHeight="1">
      <c r="A2" s="2" t="inlineStr">
        <is>
          <t>CC-001</t>
        </is>
      </c>
      <c r="B2" s="2" t="inlineStr">
        <is>
          <t>USA</t>
        </is>
      </c>
      <c r="C2" s="2" t="n">
        <v>1</v>
      </c>
      <c r="D2" s="2" t="inlineStr">
        <is>
          <t>AWS Activate</t>
        </is>
      </c>
      <c r="E2" s="2" t="inlineStr">
        <is>
          <t>Cloud credits</t>
        </is>
      </c>
      <c r="F2" s="2" t="inlineStr">
        <is>
          <t>Non-cash credits</t>
        </is>
      </c>
      <c r="G2" s="2" t="inlineStr">
        <is>
          <t>All / CK / ESG AIoT</t>
        </is>
      </c>
      <c r="H2" s="2" t="inlineStr">
        <is>
          <t>Pre-seed supported</t>
        </is>
      </c>
      <c r="I2" s="2" t="inlineStr">
        <is>
          <t>Contact now</t>
        </is>
      </c>
      <c r="J2" s="2" t="inlineStr">
        <is>
          <t>High</t>
        </is>
      </c>
      <c r="K2" s="2" t="inlineStr">
        <is>
          <t>No unrestricted cash</t>
        </is>
      </c>
      <c r="L2" s="2" t="n">
        <v>5</v>
      </c>
      <c r="M2" s="2" t="n">
        <v>5</v>
      </c>
      <c r="N2" s="2" t="n">
        <v>5</v>
      </c>
      <c r="O2" s="2">
        <f>ROUND(L2*10+M2*6+N2*4,0)</f>
        <v/>
      </c>
      <c r="P2" s="2" t="inlineStr">
        <is>
          <t>Founded within last 10 years; paid-tier AWS account; prior credits check. Inspironics Nov 2017 appears within age limit. Provider Org ID required for Portfolio.</t>
        </is>
      </c>
      <c r="Q2" s="2" t="inlineStr">
        <is>
          <t>Application route live</t>
        </is>
      </c>
      <c r="R2" s="2" t="inlineStr">
        <is>
          <t>AWS Activate application team</t>
        </is>
      </c>
      <c r="S2" s="3" t="inlineStr">
        <is>
          <t>https://aws.amazon.com/startups/credits/</t>
        </is>
      </c>
      <c r="T2" s="2" t="inlineStr">
        <is>
          <t>Founders starts $1,000; selected up to $5,000. Portfolio up to $200,000; conditional, not cash.</t>
        </is>
      </c>
      <c r="U2" s="2" t="inlineStr">
        <is>
          <t>Check prior credits, then apply for appropriate tier to support CK/ESG/Yardos demos.</t>
        </is>
      </c>
      <c r="V2" s="2" t="inlineStr">
        <is>
          <t>Published startup age and tier requirements; application portal available.</t>
        </is>
      </c>
      <c r="W2" s="3" t="inlineStr">
        <is>
          <t>https://aws.amazon.com/startups/credits/</t>
        </is>
      </c>
      <c r="X2" s="4" t="n">
        <v>46301</v>
      </c>
    </row>
    <row r="3" ht="78" customHeight="1">
      <c r="A3" s="2" t="inlineStr">
        <is>
          <t>CC-002</t>
        </is>
      </c>
      <c r="B3" s="2" t="inlineStr">
        <is>
          <t>USA</t>
        </is>
      </c>
      <c r="C3" s="2" t="n">
        <v>2</v>
      </c>
      <c r="D3" s="2" t="inlineStr">
        <is>
          <t>CO.LAB / The Company Lab</t>
        </is>
      </c>
      <c r="E3" s="2" t="inlineStr">
        <is>
          <t>Accelerator</t>
        </is>
      </c>
      <c r="F3" s="2" t="inlineStr">
        <is>
          <t>Mentoring / pilots; capital terms to confirm</t>
        </is>
      </c>
      <c r="G3" s="2" t="inlineStr">
        <is>
          <t>Energy / industrial efficiency / data</t>
        </is>
      </c>
      <c r="H3" s="2" t="inlineStr">
        <is>
          <t>Early-stage accelerator</t>
        </is>
      </c>
      <c r="I3" s="2" t="inlineStr">
        <is>
          <t>Contact now</t>
        </is>
      </c>
      <c r="J3" s="2" t="inlineStr">
        <is>
          <t>High</t>
        </is>
      </c>
      <c r="K3" s="2" t="inlineStr">
        <is>
          <t>No direct cash confirmed</t>
        </is>
      </c>
      <c r="L3" s="2" t="n">
        <v>5</v>
      </c>
      <c r="M3" s="2" t="n">
        <v>4</v>
      </c>
      <c r="N3" s="2" t="n">
        <v>4</v>
      </c>
      <c r="O3" s="2">
        <f>ROUND(L3*10+M3*6+N3*4,0)</f>
        <v/>
      </c>
      <c r="P3" s="2" t="inlineStr">
        <is>
          <t>Assumed user means Chattanooga CO.LAB; confirm cohort, in-person commitment, equity and award terms.</t>
        </is>
      </c>
      <c r="Q3" s="2" t="inlineStr">
        <is>
          <t>Application link live; next intake unconfirmed</t>
        </is>
      </c>
      <c r="R3" s="2" t="inlineStr">
        <is>
          <t>info@colab.is | +1 423-281-0811</t>
        </is>
      </c>
      <c r="S3" s="3" t="inlineStr">
        <is>
          <t>https://thecompanylab.org/accelerator/energy-innovation/</t>
        </is>
      </c>
      <c r="T3" s="2" t="inlineStr">
        <is>
          <t>Not publicly confirmed; request current terms</t>
        </is>
      </c>
      <c r="U3" s="2" t="inlineStr">
        <is>
          <t>Request energy-cohort screening and utility/industrial pilot introductions for CK + ESG AIoT.</t>
        </is>
      </c>
      <c r="V3" s="2" t="inlineStr">
        <is>
          <t>Official energy programme and public email listed.</t>
        </is>
      </c>
      <c r="W3" s="3" t="inlineStr">
        <is>
          <t>https://thecompanylab.org/accelerator/energy-innovation/</t>
        </is>
      </c>
      <c r="X3" s="4" t="n">
        <v>46301</v>
      </c>
    </row>
    <row r="4" ht="78" customHeight="1">
      <c r="A4" s="2" t="inlineStr">
        <is>
          <t>CC-003</t>
        </is>
      </c>
      <c r="B4" s="2" t="inlineStr">
        <is>
          <t>USA</t>
        </is>
      </c>
      <c r="C4" s="2" t="n">
        <v>3</v>
      </c>
      <c r="D4" s="2" t="inlineStr">
        <is>
          <t>Rutgers EcoComplex</t>
        </is>
      </c>
      <c r="E4" s="2" t="inlineStr">
        <is>
          <t>Academia / incubator</t>
        </is>
      </c>
      <c r="F4" s="2" t="inlineStr">
        <is>
          <t>Validation / facilities / introductions</t>
        </is>
      </c>
      <c r="G4" s="2" t="inlineStr">
        <is>
          <t>Clean energy / controlled-environment agriculture</t>
        </is>
      </c>
      <c r="H4" s="2" t="inlineStr">
        <is>
          <t>Incubation pathway; admission discretionary</t>
        </is>
      </c>
      <c r="I4" s="2" t="inlineStr">
        <is>
          <t>Contact now</t>
        </is>
      </c>
      <c r="J4" s="2" t="inlineStr">
        <is>
          <t>High</t>
        </is>
      </c>
      <c r="K4" s="2" t="inlineStr">
        <is>
          <t>No direct cash confirmed</t>
        </is>
      </c>
      <c r="L4" s="2" t="n">
        <v>5</v>
      </c>
      <c r="M4" s="2" t="n">
        <v>4</v>
      </c>
      <c r="N4" s="2" t="n">
        <v>4</v>
      </c>
      <c r="O4" s="2">
        <f>ROUND(L4*10+M4*6+N4*4,0)</f>
        <v/>
      </c>
      <c r="P4" s="2" t="inlineStr">
        <is>
          <t>Paid facilities/incubation possible; academic tie-up does not automatically fund startup.</t>
        </is>
      </c>
      <c r="Q4" s="2" t="inlineStr">
        <is>
          <t>Public contact live</t>
        </is>
      </c>
      <c r="R4" s="2" t="inlineStr">
        <is>
          <t>ecocomplex@njaes.rutgers.edu</t>
        </is>
      </c>
      <c r="S4" s="3" t="inlineStr">
        <is>
          <t>https://ecocomplex.rutgers.edu/contact.html</t>
        </is>
      </c>
      <c r="T4" s="2" t="inlineStr">
        <is>
          <t>Not publicly confirmed; request current terms</t>
        </is>
      </c>
      <c r="U4" s="2" t="inlineStr">
        <is>
          <t>Request lab validation scope for energy/AQ/water and vertical-farm monitoring.</t>
        </is>
      </c>
      <c r="V4" s="2" t="inlineStr">
        <is>
          <t>Incubator covers clean energy, environmental and controlled-environment agriculture.</t>
        </is>
      </c>
      <c r="W4" s="3" t="inlineStr">
        <is>
          <t>https://ecocomplex.rutgers.edu/incubator-businesses.html</t>
        </is>
      </c>
      <c r="X4" s="4" t="n">
        <v>46301</v>
      </c>
    </row>
    <row r="5" ht="78" customHeight="1">
      <c r="A5" s="2" t="inlineStr">
        <is>
          <t>CC-004</t>
        </is>
      </c>
      <c r="B5" s="2" t="inlineStr">
        <is>
          <t>USA</t>
        </is>
      </c>
      <c r="C5" s="2" t="n">
        <v>4</v>
      </c>
      <c r="D5" s="2" t="inlineStr">
        <is>
          <t>AHLA / HTNG AI Community</t>
        </is>
      </c>
      <c r="E5" s="2" t="inlineStr">
        <is>
          <t>Industry consortium</t>
        </is>
      </c>
      <c r="F5" s="2" t="inlineStr">
        <is>
          <t>Standards / buyer access; no direct capital</t>
        </is>
      </c>
      <c r="G5" s="2" t="inlineStr">
        <is>
          <t>Hospitality / HMS / Xenia</t>
        </is>
      </c>
      <c r="H5" s="2" t="inlineStr">
        <is>
          <t>Vendor ecosystem access</t>
        </is>
      </c>
      <c r="I5" s="2" t="inlineStr">
        <is>
          <t>Contact now</t>
        </is>
      </c>
      <c r="J5" s="2" t="inlineStr">
        <is>
          <t>High</t>
        </is>
      </c>
      <c r="K5" s="2" t="inlineStr">
        <is>
          <t>No direct cash confirmed</t>
        </is>
      </c>
      <c r="L5" s="2" t="n">
        <v>5</v>
      </c>
      <c r="M5" s="2" t="n">
        <v>4</v>
      </c>
      <c r="N5" s="2" t="n">
        <v>4</v>
      </c>
      <c r="O5" s="2">
        <f>ROUND(L5*10+M5*6+N5*4,0)</f>
        <v/>
      </c>
      <c r="P5" s="2" t="inlineStr">
        <is>
          <t>Membership fees and working-group terms to check.</t>
        </is>
      </c>
      <c r="Q5" s="2" t="inlineStr">
        <is>
          <t>Public AI community contact</t>
        </is>
      </c>
      <c r="R5" s="2" t="inlineStr">
        <is>
          <t>Darrel Hugh | dhugh@ahla.com</t>
        </is>
      </c>
      <c r="S5" s="3" t="inlineStr">
        <is>
          <t>https://www.ahla.com/htng/communities-of-interest-artificial-intelligence</t>
        </is>
      </c>
      <c r="T5" s="2" t="inlineStr">
        <is>
          <t>Not publicly confirmed; request current terms</t>
        </is>
      </c>
      <c r="U5" s="2" t="inlineStr">
        <is>
          <t>Request interoperability/AI working-group access and hotel pilot introductions.</t>
        </is>
      </c>
      <c r="V5" s="2" t="inlineStr">
        <is>
          <t>AI community has a named AHLA contact.</t>
        </is>
      </c>
      <c r="W5" s="3" t="inlineStr">
        <is>
          <t>https://www.ahla.com/htng/communities-of-interest-artificial-intelligence</t>
        </is>
      </c>
      <c r="X5" s="4" t="n">
        <v>46301</v>
      </c>
    </row>
    <row r="6" ht="78" customHeight="1">
      <c r="A6" s="2" t="inlineStr">
        <is>
          <t>CC-005</t>
        </is>
      </c>
      <c r="B6" s="2" t="inlineStr">
        <is>
          <t>USA</t>
        </is>
      </c>
      <c r="C6" s="2" t="n">
        <v>5</v>
      </c>
      <c r="D6" s="2" t="inlineStr">
        <is>
          <t>PSE&amp;G Energy Management / Trade Ally</t>
        </is>
      </c>
      <c r="E6" s="2" t="inlineStr">
        <is>
          <t>Utility programme</t>
        </is>
      </c>
      <c r="F6" s="2" t="inlineStr">
        <is>
          <t>Customer incentives / delivery channel</t>
        </is>
      </c>
      <c r="G6" s="2" t="inlineStr">
        <is>
          <t>Buildings / factories / hospitals</t>
        </is>
      </c>
      <c r="H6" s="2" t="inlineStr">
        <is>
          <t>Technology partner; not corporate grant</t>
        </is>
      </c>
      <c r="I6" s="2" t="inlineStr">
        <is>
          <t>Contact now</t>
        </is>
      </c>
      <c r="J6" s="2" t="inlineStr">
        <is>
          <t>High</t>
        </is>
      </c>
      <c r="K6" s="2" t="inlineStr">
        <is>
          <t>No direct cash confirmed</t>
        </is>
      </c>
      <c r="L6" s="2" t="n">
        <v>5</v>
      </c>
      <c r="M6" s="2" t="n">
        <v>4</v>
      </c>
      <c r="N6" s="2" t="n">
        <v>3</v>
      </c>
      <c r="O6" s="2">
        <f>ROUND(L6*10+M6*6+N6*4,0)</f>
        <v/>
      </c>
      <c r="P6" s="2" t="inlineStr">
        <is>
          <t>NJ customer site; approved measure and delivery partner; standalone SaaS eligibility unconfirmed.</t>
        </is>
      </c>
      <c r="Q6" s="2" t="inlineStr">
        <is>
          <t>Programme and Trade Ally route live</t>
        </is>
      </c>
      <c r="R6" s="2" t="inlineStr">
        <is>
          <t>PSEG-CleanEnergy@pseg.com</t>
        </is>
      </c>
      <c r="S6" s="3" t="inlineStr">
        <is>
          <t>https://mybizenergy.pseg.com/energy-management-program</t>
        </is>
      </c>
      <c r="T6" s="2" t="inlineStr">
        <is>
          <t>Customer project incentives; no startup cash award assumed.</t>
        </is>
      </c>
      <c r="U6" s="2" t="inlineStr">
        <is>
          <t>Ask whether CK monitoring can qualify through an approved commissioning/ESCO partner.</t>
        </is>
      </c>
      <c r="V6" s="2" t="inlineStr">
        <is>
          <t>Monitoring-based commissioning and partner participation are published.</t>
        </is>
      </c>
      <c r="W6" s="3" t="inlineStr">
        <is>
          <t>https://bizsaveportal.pseg.com/TradeAlly/TradeAllyApplication/Begin</t>
        </is>
      </c>
      <c r="X6" s="4" t="n">
        <v>46301</v>
      </c>
    </row>
    <row r="7" ht="78" customHeight="1">
      <c r="A7" s="2" t="inlineStr">
        <is>
          <t>CC-006</t>
        </is>
      </c>
      <c r="B7" s="2" t="inlineStr">
        <is>
          <t>USA</t>
        </is>
      </c>
      <c r="C7" s="2" t="n">
        <v>6</v>
      </c>
      <c r="D7" s="2" t="inlineStr">
        <is>
          <t>Third Derivative (RMI)</t>
        </is>
      </c>
      <c r="E7" s="2" t="inlineStr">
        <is>
          <t>Accelerator</t>
        </is>
      </c>
      <c r="F7" s="2" t="inlineStr">
        <is>
          <t>Climate accelerator / investor access</t>
        </is>
      </c>
      <c r="G7" s="2" t="inlineStr">
        <is>
          <t>Buildings / industry / energy</t>
        </is>
      </c>
      <c r="H7" s="2" t="inlineStr">
        <is>
          <t>Climate startup pathway</t>
        </is>
      </c>
      <c r="I7" s="2" t="inlineStr">
        <is>
          <t>Contact now</t>
        </is>
      </c>
      <c r="J7" s="2" t="inlineStr">
        <is>
          <t>Medium</t>
        </is>
      </c>
      <c r="K7" s="2" t="inlineStr">
        <is>
          <t>No direct cash confirmed</t>
        </is>
      </c>
      <c r="L7" s="2" t="n">
        <v>5</v>
      </c>
      <c r="M7" s="2" t="n">
        <v>3</v>
      </c>
      <c r="N7" s="2" t="n">
        <v>4</v>
      </c>
      <c r="O7" s="2">
        <f>ROUND(L7*10+M7*6+N7*4,0)</f>
        <v/>
      </c>
      <c r="P7" s="2" t="inlineStr">
        <is>
          <t>Show material climate impact and defensible innovation; verify intake and investment terms.</t>
        </is>
      </c>
      <c r="Q7" s="2" t="inlineStr">
        <is>
          <t>Programme listed; intake dates unconfirmed</t>
        </is>
      </c>
      <c r="R7" s="2" t="inlineStr">
        <is>
          <t>Startup application team via programme page</t>
        </is>
      </c>
      <c r="S7" s="3" t="inlineStr">
        <is>
          <t>https://www.third-derivative.org/startups</t>
        </is>
      </c>
      <c r="T7" s="2" t="inlineStr">
        <is>
          <t>Not publicly confirmed; request current terms</t>
        </is>
      </c>
      <c r="U7" s="2" t="inlineStr">
        <is>
          <t>Submit one climate use case with baseline-to-outcome measurement and pilot design.</t>
        </is>
      </c>
      <c r="V7" s="2" t="inlineStr">
        <is>
          <t>Global climate accelerator invites relevant startups.</t>
        </is>
      </c>
      <c r="W7" s="3" t="inlineStr">
        <is>
          <t>https://www.third-derivative.org/startups</t>
        </is>
      </c>
      <c r="X7" s="4" t="n">
        <v>46301</v>
      </c>
    </row>
    <row r="8" ht="78" customHeight="1">
      <c r="A8" s="2" t="inlineStr">
        <is>
          <t>CC-007</t>
        </is>
      </c>
      <c r="B8" s="2" t="inlineStr">
        <is>
          <t>USA</t>
        </is>
      </c>
      <c r="C8" s="2" t="n">
        <v>7</v>
      </c>
      <c r="D8" s="2" t="inlineStr">
        <is>
          <t>Clean Energy Venture Group</t>
        </is>
      </c>
      <c r="E8" s="2" t="inlineStr">
        <is>
          <t>Angel / VC</t>
        </is>
      </c>
      <c r="F8" s="2" t="inlineStr">
        <is>
          <t>Equity</t>
        </is>
      </c>
      <c r="G8" s="2" t="inlineStr">
        <is>
          <t>Energy / industrial / buildings</t>
        </is>
      </c>
      <c r="H8" s="2" t="inlineStr">
        <is>
          <t>Pre-seed / seed</t>
        </is>
      </c>
      <c r="I8" s="2" t="inlineStr">
        <is>
          <t>Contact now</t>
        </is>
      </c>
      <c r="J8" s="2" t="inlineStr">
        <is>
          <t>Medium</t>
        </is>
      </c>
      <c r="K8" s="2" t="inlineStr">
        <is>
          <t>Low to medium / competitive</t>
        </is>
      </c>
      <c r="L8" s="2" t="n">
        <v>5</v>
      </c>
      <c r="M8" s="2" t="n">
        <v>3</v>
      </c>
      <c r="N8" s="2" t="n">
        <v>3</v>
      </c>
      <c r="O8" s="2">
        <f>ROUND(L8*10+M8*6+N8*4,0)</f>
        <v/>
      </c>
      <c r="P8" s="2" t="inlineStr">
        <is>
          <t>Technical defensibility and climate impact; US commercial plan needed.</t>
        </is>
      </c>
      <c r="Q8" s="2" t="inlineStr">
        <is>
          <t>Submission portal live</t>
        </is>
      </c>
      <c r="R8" s="2" t="inlineStr">
        <is>
          <t>Investment team via Apply portal</t>
        </is>
      </c>
      <c r="S8" s="3" t="inlineStr">
        <is>
          <t>https://cevg.com/apply/</t>
        </is>
      </c>
      <c r="T8" s="2" t="inlineStr">
        <is>
          <t>Not publicly confirmed; request current terms</t>
        </is>
      </c>
      <c r="U8" s="2" t="inlineStr">
        <is>
          <t>Pitch first pilot financing for energy anomaly detection and predictive maintenance.</t>
        </is>
      </c>
      <c r="V8" s="2" t="inlineStr">
        <is>
          <t>CEVG sister angel group explicitly backs pre-seed and seed.</t>
        </is>
      </c>
      <c r="W8" s="3" t="inlineStr">
        <is>
          <t>https://cleanenergyventures.com/working-with-us</t>
        </is>
      </c>
      <c r="X8" s="4" t="n">
        <v>46301</v>
      </c>
    </row>
    <row r="9" ht="78" customHeight="1">
      <c r="A9" s="2" t="inlineStr">
        <is>
          <t>CC-008</t>
        </is>
      </c>
      <c r="B9" s="2" t="inlineStr">
        <is>
          <t>USA</t>
        </is>
      </c>
      <c r="C9" s="2" t="n">
        <v>8</v>
      </c>
      <c r="D9" s="2" t="inlineStr">
        <is>
          <t>Congruent Ventures</t>
        </is>
      </c>
      <c r="E9" s="2" t="inlineStr">
        <is>
          <t>VC</t>
        </is>
      </c>
      <c r="F9" s="2" t="inlineStr">
        <is>
          <t>Equity</t>
        </is>
      </c>
      <c r="G9" s="2" t="inlineStr">
        <is>
          <t>Climate / buildings / industrial / agriculture</t>
        </is>
      </c>
      <c r="H9" s="2" t="inlineStr">
        <is>
          <t>Early-stage</t>
        </is>
      </c>
      <c r="I9" s="2" t="inlineStr">
        <is>
          <t>Contact now</t>
        </is>
      </c>
      <c r="J9" s="2" t="inlineStr">
        <is>
          <t>Medium</t>
        </is>
      </c>
      <c r="K9" s="2" t="inlineStr">
        <is>
          <t>Low to medium / competitive</t>
        </is>
      </c>
      <c r="L9" s="2" t="n">
        <v>5</v>
      </c>
      <c r="M9" s="2" t="n">
        <v>3</v>
      </c>
      <c r="N9" s="2" t="n">
        <v>3</v>
      </c>
      <c r="O9" s="2">
        <f>ROUND(L9*10+M9*6+N9*4,0)</f>
        <v/>
      </c>
      <c r="P9" s="2" t="inlineStr">
        <is>
          <t>North America commercial relevance and venture-scale climate thesis.</t>
        </is>
      </c>
      <c r="Q9" s="2" t="inlineStr">
        <is>
          <t>Public investor channel listed</t>
        </is>
      </c>
      <c r="R9" s="2" t="inlineStr">
        <is>
          <t>investors@congruentvc.com</t>
        </is>
      </c>
      <c r="S9" s="3" t="inlineStr">
        <is>
          <t>https://www.congruentvc.com/thinking</t>
        </is>
      </c>
      <c r="T9" s="2" t="inlineStr">
        <is>
          <t>Not publicly confirmed; request current terms</t>
        </is>
      </c>
      <c r="U9" s="2" t="inlineStr">
        <is>
          <t>Request seed screening with a focused CK/ESG wedge and 90-day pilot milestones.</t>
        </is>
      </c>
      <c r="V9" s="2" t="inlineStr">
        <is>
          <t>Official early-stage climate mandate; investor mailbox on Thinking page.</t>
        </is>
      </c>
      <c r="W9" s="3" t="inlineStr">
        <is>
          <t>https://www.congruentvc.com/</t>
        </is>
      </c>
      <c r="X9" s="4" t="n">
        <v>46301</v>
      </c>
    </row>
    <row r="10" ht="78" customHeight="1">
      <c r="A10" s="2" t="inlineStr">
        <is>
          <t>CC-009</t>
        </is>
      </c>
      <c r="B10" s="2" t="inlineStr">
        <is>
          <t>USA</t>
        </is>
      </c>
      <c r="C10" s="2" t="n">
        <v>9</v>
      </c>
      <c r="D10" s="2" t="inlineStr">
        <is>
          <t>Elemental Impact</t>
        </is>
      </c>
      <c r="E10" s="2" t="inlineStr">
        <is>
          <t>Catalytic investment</t>
        </is>
      </c>
      <c r="F10" s="2" t="inlineStr">
        <is>
          <t>Investment; terms vary by track</t>
        </is>
      </c>
      <c r="G10" s="2" t="inlineStr">
        <is>
          <t>Buildings / industry / water / agriculture / data centers</t>
        </is>
      </c>
      <c r="H10" s="2" t="inlineStr">
        <is>
          <t>Pre-seed through later rounds</t>
        </is>
      </c>
      <c r="I10" s="2" t="inlineStr">
        <is>
          <t>Contact now</t>
        </is>
      </c>
      <c r="J10" s="2" t="inlineStr">
        <is>
          <t>Medium</t>
        </is>
      </c>
      <c r="K10" s="2" t="inlineStr">
        <is>
          <t>Low to medium / competitive</t>
        </is>
      </c>
      <c r="L10" s="2" t="n">
        <v>5</v>
      </c>
      <c r="M10" s="2" t="n">
        <v>3</v>
      </c>
      <c r="N10" s="2" t="n">
        <v>3</v>
      </c>
      <c r="O10" s="2">
        <f>ROUND(L10*10+M10*6+N10*4,0)</f>
        <v/>
      </c>
      <c r="P10" s="2" t="inlineStr">
        <is>
          <t>Select Strategy track for current stage; verify full-time team expectations; contractors may not qualify.</t>
        </is>
      </c>
      <c r="Q10" s="2" t="inlineStr">
        <is>
          <t>Apply route listed; current allocation unconfirmed</t>
        </is>
      </c>
      <c r="R10" s="2" t="inlineStr">
        <is>
          <t>apply@elementalimpact.com</t>
        </is>
      </c>
      <c r="S10" s="3" t="inlineStr">
        <is>
          <t>https://elementalimpact.com/funding-opportunities/apply/</t>
        </is>
      </c>
      <c r="T10" s="2" t="inlineStr">
        <is>
          <t>Not publicly confirmed; request current terms</t>
        </is>
      </c>
      <c r="U10" s="2" t="inlineStr">
        <is>
          <t>Ask Strategy track fit for a pre-revenue, consultant-led team before full application.</t>
        </is>
      </c>
      <c r="V10" s="2" t="inlineStr">
        <is>
          <t>Open application covers pre-seed to Series C and target sectors.</t>
        </is>
      </c>
      <c r="W10" s="3" t="inlineStr">
        <is>
          <t>https://elementalimpact.com/funding-opportunities/apply/</t>
        </is>
      </c>
      <c r="X10" s="4" t="n">
        <v>46301</v>
      </c>
    </row>
    <row r="11" ht="78" customHeight="1">
      <c r="A11" s="2" t="inlineStr">
        <is>
          <t>CC-010</t>
        </is>
      </c>
      <c r="B11" s="2" t="inlineStr">
        <is>
          <t>USA</t>
        </is>
      </c>
      <c r="C11" s="2" t="n">
        <v>10</v>
      </c>
      <c r="D11" s="2" t="inlineStr">
        <is>
          <t>Cleantech Open</t>
        </is>
      </c>
      <c r="E11" s="2" t="inlineStr">
        <is>
          <t>Accelerator</t>
        </is>
      </c>
      <c r="F11" s="2" t="inlineStr">
        <is>
          <t>Mentoring / competition; not guaranteed grant</t>
        </is>
      </c>
      <c r="G11" s="2" t="inlineStr">
        <is>
          <t>Energy / buildings / industrial</t>
        </is>
      </c>
      <c r="H11" s="2" t="inlineStr">
        <is>
          <t>Early-stage teams</t>
        </is>
      </c>
      <c r="I11" s="2" t="inlineStr">
        <is>
          <t>Contact now</t>
        </is>
      </c>
      <c r="J11" s="2" t="inlineStr">
        <is>
          <t>High</t>
        </is>
      </c>
      <c r="K11" s="2" t="inlineStr">
        <is>
          <t>No direct cash confirmed</t>
        </is>
      </c>
      <c r="L11" s="2" t="n">
        <v>4</v>
      </c>
      <c r="M11" s="2" t="n">
        <v>4</v>
      </c>
      <c r="N11" s="2" t="n">
        <v>4</v>
      </c>
      <c r="O11" s="2">
        <f>ROUND(L11*10+M11*6+N11*4,0)</f>
        <v/>
      </c>
      <c r="P11" s="2" t="inlineStr">
        <is>
          <t>Check next cohort dates, participation fees and geographic track.</t>
        </is>
      </c>
      <c r="Q11" s="2" t="inlineStr">
        <is>
          <t>2026 programme page; next intake unconfirmed</t>
        </is>
      </c>
      <c r="R11" s="2" t="inlineStr">
        <is>
          <t>contact@cleantechopen.org</t>
        </is>
      </c>
      <c r="S11" s="3" t="inlineStr">
        <is>
          <t>https://www.cleantechopen.org/en/page/2026-cto-accelerator-en</t>
        </is>
      </c>
      <c r="T11" s="2" t="inlineStr">
        <is>
          <t>Not publicly confirmed; request current terms</t>
        </is>
      </c>
      <c r="U11" s="2" t="inlineStr">
        <is>
          <t>Request next cohort and Northeast mentor introductions; lead with quantified conservation.</t>
        </is>
      </c>
      <c r="V11" s="2" t="inlineStr">
        <is>
          <t>Official cohort page gives fit-enquiry email.</t>
        </is>
      </c>
      <c r="W11" s="3" t="inlineStr">
        <is>
          <t>https://www.cleantechopen.org/en/page/2026-cto-accelerator-en</t>
        </is>
      </c>
      <c r="X11" s="4" t="n">
        <v>46301</v>
      </c>
    </row>
    <row r="12" ht="78" customHeight="1">
      <c r="A12" s="2" t="inlineStr">
        <is>
          <t>CC-011</t>
        </is>
      </c>
      <c r="B12" s="2" t="inlineStr">
        <is>
          <t>USA</t>
        </is>
      </c>
      <c r="C12" s="2" t="n">
        <v>11</v>
      </c>
      <c r="D12" s="2" t="inlineStr">
        <is>
          <t>NJIT industry research</t>
        </is>
      </c>
      <c r="E12" s="2" t="inlineStr">
        <is>
          <t>Academia</t>
        </is>
      </c>
      <c r="F12" s="2" t="inlineStr">
        <is>
          <t>Joint research / licensing / validation</t>
        </is>
      </c>
      <c r="G12" s="2" t="inlineStr">
        <is>
          <t>AI / IoT / buildings / healthcare</t>
        </is>
      </c>
      <c r="H12" s="2" t="inlineStr">
        <is>
          <t>Industry partnership; not a seed investment</t>
        </is>
      </c>
      <c r="I12" s="2" t="inlineStr">
        <is>
          <t>Contact now</t>
        </is>
      </c>
      <c r="J12" s="2" t="inlineStr">
        <is>
          <t>High</t>
        </is>
      </c>
      <c r="K12" s="2" t="inlineStr">
        <is>
          <t>No direct cash confirmed</t>
        </is>
      </c>
      <c r="L12" s="2" t="n">
        <v>4</v>
      </c>
      <c r="M12" s="2" t="n">
        <v>4</v>
      </c>
      <c r="N12" s="2" t="n">
        <v>4</v>
      </c>
      <c r="O12" s="2">
        <f>ROUND(L12*10+M12*6+N12*4,0)</f>
        <v/>
      </c>
      <c r="P12" s="2" t="inlineStr">
        <is>
          <t>Agree faculty scope, budget, IP and data terms.</t>
        </is>
      </c>
      <c r="Q12" s="2" t="inlineStr">
        <is>
          <t>Industry contact published</t>
        </is>
      </c>
      <c r="R12" s="2" t="inlineStr">
        <is>
          <t>in49@njit.edu | +1 973-642-4301</t>
        </is>
      </c>
      <c r="S12" s="3" t="inlineStr">
        <is>
          <t>https://research.njit.edu/industry</t>
        </is>
      </c>
      <c r="T12" s="2" t="inlineStr">
        <is>
          <t>Not publicly confirmed; request current terms</t>
        </is>
      </c>
      <c r="U12" s="2" t="inlineStr">
        <is>
          <t>Request research partner for sensor reliability and digital-twin verification.</t>
        </is>
      </c>
      <c r="V12" s="2" t="inlineStr">
        <is>
          <t>Industry partnerships and campus incubation resources described.</t>
        </is>
      </c>
      <c r="W12" s="3" t="inlineStr">
        <is>
          <t>https://research.njit.edu/forindustry</t>
        </is>
      </c>
      <c r="X12" s="4" t="n">
        <v>46301</v>
      </c>
    </row>
    <row r="13" ht="78" customHeight="1">
      <c r="A13" s="2" t="inlineStr">
        <is>
          <t>CC-012</t>
        </is>
      </c>
      <c r="B13" s="2" t="inlineStr">
        <is>
          <t>USA</t>
        </is>
      </c>
      <c r="C13" s="2" t="n">
        <v>12</v>
      </c>
      <c r="D13" s="2" t="inlineStr">
        <is>
          <t>Digital Twin Consortium</t>
        </is>
      </c>
      <c r="E13" s="2" t="inlineStr">
        <is>
          <t>Industry consortium</t>
        </is>
      </c>
      <c r="F13" s="2" t="inlineStr">
        <is>
          <t>Technical ecosystem / partner pilots</t>
        </is>
      </c>
      <c r="G13" s="2" t="inlineStr">
        <is>
          <t>Industry / buildings / data centers</t>
        </is>
      </c>
      <c r="H13" s="2" t="inlineStr">
        <is>
          <t>Membership open to organizations</t>
        </is>
      </c>
      <c r="I13" s="2" t="inlineStr">
        <is>
          <t>Contact now</t>
        </is>
      </c>
      <c r="J13" s="2" t="inlineStr">
        <is>
          <t>High</t>
        </is>
      </c>
      <c r="K13" s="2" t="inlineStr">
        <is>
          <t>No direct cash confirmed</t>
        </is>
      </c>
      <c r="L13" s="2" t="n">
        <v>4</v>
      </c>
      <c r="M13" s="2" t="n">
        <v>4</v>
      </c>
      <c r="N13" s="2" t="n">
        <v>4</v>
      </c>
      <c r="O13" s="2">
        <f>ROUND(L13*10+M13*6+N13*4,0)</f>
        <v/>
      </c>
      <c r="P13" s="2" t="inlineStr">
        <is>
          <t>Membership fees; require clear technical contribution. IIC now integrated into DTC.</t>
        </is>
      </c>
      <c r="Q13" s="2" t="inlineStr">
        <is>
          <t>Membership inquiry route live</t>
        </is>
      </c>
      <c r="R13" s="2" t="inlineStr">
        <is>
          <t>info@digitaltwinconsortium.org | +1 781-444-0404</t>
        </is>
      </c>
      <c r="S13" s="3" t="inlineStr">
        <is>
          <t>https://www.digitaltwinconsortium.org/contact-us/</t>
        </is>
      </c>
      <c r="T13" s="2" t="inlineStr">
        <is>
          <t>Not publicly confirmed; request current terms</t>
        </is>
      </c>
      <c r="U13" s="2" t="inlineStr">
        <is>
          <t>Ask startup membership terms and energy/buildings testbed collaboration.</t>
        </is>
      </c>
      <c r="V13" s="2" t="inlineStr">
        <is>
          <t>Open membership with revenue-based pricing; current DTC route replaces IIC.</t>
        </is>
      </c>
      <c r="W13" s="3" t="inlineStr">
        <is>
          <t>https://www.digitaltwinconsortium.org/dtcmembersearch/</t>
        </is>
      </c>
      <c r="X13" s="4" t="n">
        <v>46301</v>
      </c>
    </row>
    <row r="14" ht="78" customHeight="1">
      <c r="A14" s="2" t="inlineStr">
        <is>
          <t>CC-013</t>
        </is>
      </c>
      <c r="B14" s="2" t="inlineStr">
        <is>
          <t>USA</t>
        </is>
      </c>
      <c r="C14" s="2" t="n">
        <v>13</v>
      </c>
      <c r="D14" s="2" t="inlineStr">
        <is>
          <t>NJ CSIT Clean Tech R&amp;D Voucher</t>
        </is>
      </c>
      <c r="E14" s="2" t="inlineStr">
        <is>
          <t>Government grant / voucher</t>
        </is>
      </c>
      <c r="F14" s="2" t="inlineStr">
        <is>
          <t>Restricted R&amp;D facility voucher</t>
        </is>
      </c>
      <c r="G14" s="2" t="inlineStr">
        <is>
          <t>Energy / green buildings / water / agriculture</t>
        </is>
      </c>
      <c r="H14" s="2" t="inlineStr">
        <is>
          <t>Early-stage; revenue cap</t>
        </is>
      </c>
      <c r="I14" s="2" t="inlineStr">
        <is>
          <t>Eligibility gate first</t>
        </is>
      </c>
      <c r="J14" s="2" t="inlineStr">
        <is>
          <t>Very low</t>
        </is>
      </c>
      <c r="K14" s="2" t="inlineStr">
        <is>
          <t>No unrestricted cash</t>
        </is>
      </c>
      <c r="L14" s="2" t="n">
        <v>5</v>
      </c>
      <c r="M14" s="2" t="n">
        <v>1</v>
      </c>
      <c r="N14" s="2" t="n">
        <v>2</v>
      </c>
      <c r="O14" s="2">
        <f>ROUND(L14*10+M14*6+N14*4,0)</f>
        <v/>
      </c>
      <c r="P14" s="2" t="inlineStr">
        <is>
          <t>50%+ cumulative work hours in NJ, including contractors; one full-time worker; tax clearance. India-based delivery suggests likely current mismatch.</t>
        </is>
      </c>
      <c r="Q14" s="2" t="inlineStr">
        <is>
          <t>Official page states applications open</t>
        </is>
      </c>
      <c r="R14" s="2" t="inlineStr">
        <is>
          <t>csitvoucher@njcsit.gov</t>
        </is>
      </c>
      <c r="S14" s="3" t="inlineStr">
        <is>
          <t>https://www.njcsit.gov/clean-tech-research-and-development-rd-voucher-program-round-3/</t>
        </is>
      </c>
      <c r="T14" s="2" t="inlineStr">
        <is>
          <t>Up to $40,000 in vouchers over 12 months; restricted use.</t>
        </is>
      </c>
      <c r="U14" s="2" t="inlineStr">
        <is>
          <t>Seek written eligibility screening before preparing application.</t>
        </is>
      </c>
      <c r="V14" s="2" t="inlineStr">
        <is>
          <t>NJ work-hour requirement includes founders and contractors.</t>
        </is>
      </c>
      <c r="W14" s="3" t="inlineStr">
        <is>
          <t>https://www.njcsit.gov/clean-tech-research-and-development-rd-voucher-program-round-3/</t>
        </is>
      </c>
      <c r="X14" s="4" t="n">
        <v>46301</v>
      </c>
    </row>
    <row r="15" ht="78" customHeight="1">
      <c r="A15" s="2" t="inlineStr">
        <is>
          <t>CC-014</t>
        </is>
      </c>
      <c r="B15" s="2" t="inlineStr">
        <is>
          <t>USA</t>
        </is>
      </c>
      <c r="C15" s="2" t="n">
        <v>14</v>
      </c>
      <c r="D15" s="2" t="inlineStr">
        <is>
          <t>NJ CSIT Clean Tech Seed Grant</t>
        </is>
      </c>
      <c r="E15" s="2" t="inlineStr">
        <is>
          <t>Government grant</t>
        </is>
      </c>
      <c r="F15" s="2" t="inlineStr">
        <is>
          <t>Restricted R&amp;D grant</t>
        </is>
      </c>
      <c r="G15" s="2" t="inlineStr">
        <is>
          <t>Clean energy / climate</t>
        </is>
      </c>
      <c r="H15" s="2" t="inlineStr">
        <is>
          <t>Early-stage programme</t>
        </is>
      </c>
      <c r="I15" s="2" t="inlineStr">
        <is>
          <t>Watch next intake</t>
        </is>
      </c>
      <c r="J15" s="2" t="inlineStr">
        <is>
          <t>Very low</t>
        </is>
      </c>
      <c r="K15" s="2" t="inlineStr">
        <is>
          <t>Very low until gates cleared</t>
        </is>
      </c>
      <c r="L15" s="2" t="n">
        <v>5</v>
      </c>
      <c r="M15" s="2" t="n">
        <v>1</v>
      </c>
      <c r="N15" s="2" t="n">
        <v>2</v>
      </c>
      <c r="O15" s="2">
        <f>ROUND(L15*10+M15*6+N15*4,0)</f>
        <v/>
      </c>
      <c r="P15" s="2" t="inlineStr">
        <is>
          <t>NJ operational eligibility needs current-round verification; NJ incorporation alone insufficient.</t>
        </is>
      </c>
      <c r="Q15" s="2" t="inlineStr">
        <is>
          <t>Round 4 deadline July 11 2025 passed; next round unverified</t>
        </is>
      </c>
      <c r="R15" s="2" t="inlineStr">
        <is>
          <t>csitcleantech@njcsit.gov</t>
        </is>
      </c>
      <c r="S15" s="3" t="inlineStr">
        <is>
          <t>https://www.njcsit.gov/</t>
        </is>
      </c>
      <c r="T15" s="2" t="inlineStr">
        <is>
          <t>Prior round up to $75,000; not a current offer.</t>
        </is>
      </c>
      <c r="U15" s="2" t="inlineStr">
        <is>
          <t>Ask next round timing and NJ operating requirements; do not treat as open.</t>
        </is>
      </c>
      <c r="V15" s="2" t="inlineStr">
        <is>
          <t>Official newsletter records Round 4 amount and closed deadline.</t>
        </is>
      </c>
      <c r="W15" s="3" t="inlineStr">
        <is>
          <t>https://www.njeda.gov/wp-content/uploads/2025/06/NJEDA-Clean-Energy-Newsletter-Q2-2025.pdf</t>
        </is>
      </c>
      <c r="X15" s="4" t="n">
        <v>46301</v>
      </c>
    </row>
    <row r="16" ht="78" customHeight="1">
      <c r="A16" s="2" t="inlineStr">
        <is>
          <t>CC-015</t>
        </is>
      </c>
      <c r="B16" s="2" t="inlineStr">
        <is>
          <t>USA</t>
        </is>
      </c>
      <c r="C16" s="2" t="n">
        <v>15</v>
      </c>
      <c r="D16" s="2" t="inlineStr">
        <is>
          <t>NSF America's Seed Fund</t>
        </is>
      </c>
      <c r="E16" s="2" t="inlineStr">
        <is>
          <t>Government grant</t>
        </is>
      </c>
      <c r="F16" s="2" t="inlineStr">
        <is>
          <t>SBIR / STTR R&amp;D grant</t>
        </is>
      </c>
      <c r="G16" s="2" t="inlineStr">
        <is>
          <t>Deep AI / sensor technology / industrial</t>
        </is>
      </c>
      <c r="H16" s="2" t="inlineStr">
        <is>
          <t>Pre-revenue possible; high-risk R&amp;D</t>
        </is>
      </c>
      <c r="I16" s="2" t="inlineStr">
        <is>
          <t>Eligibility gate first</t>
        </is>
      </c>
      <c r="J16" s="2" t="inlineStr">
        <is>
          <t>Very low</t>
        </is>
      </c>
      <c r="K16" s="2" t="inlineStr">
        <is>
          <t>Very low until gates cleared</t>
        </is>
      </c>
      <c r="L16" s="2" t="n">
        <v>5</v>
      </c>
      <c r="M16" s="2" t="n">
        <v>1</v>
      </c>
      <c r="N16" s="2" t="n">
        <v>2</v>
      </c>
      <c r="O16" s="2">
        <f>ROUND(L16*10+M16*6+N16*4,0)</f>
        <v/>
      </c>
      <c r="P16" s="2" t="inlineStr">
        <is>
          <t>US ownership/control, PI employment and domestic R&amp;D requirements; founder 40% alone does not prove majority eligibility; offshore team is material gate.</t>
        </is>
      </c>
      <c r="Q16" s="2" t="inlineStr">
        <is>
          <t>2026 relaunch official; confirm live solicitation deadline</t>
        </is>
      </c>
      <c r="R16" s="2" t="inlineStr">
        <is>
          <t>Project Pitch portal / programme team</t>
        </is>
      </c>
      <c r="S16" s="3" t="inlineStr">
        <is>
          <t>https://seedfund.nsf.gov/apply/</t>
        </is>
      </c>
      <c r="T16" s="2" t="inlineStr">
        <is>
          <t>Not publicly confirmed; request current terms</t>
        </is>
      </c>
      <c r="U16" s="2" t="inlineStr">
        <is>
          <t>Screen cap table, US R&amp;D and technical novelty before any Project Pitch.</t>
        </is>
      </c>
      <c r="V16" s="2" t="inlineStr">
        <is>
          <t>Official eligibility and application requirements available.</t>
        </is>
      </c>
      <c r="W16" s="3" t="inlineStr">
        <is>
          <t>https://seedfund.nsf.gov/solicitation-eligibility/</t>
        </is>
      </c>
      <c r="X16" s="4" t="n">
        <v>46301</v>
      </c>
    </row>
    <row r="17" ht="78" customHeight="1">
      <c r="A17" s="2" t="inlineStr">
        <is>
          <t>CC-016</t>
        </is>
      </c>
      <c r="B17" s="2" t="inlineStr">
        <is>
          <t>USA</t>
        </is>
      </c>
      <c r="C17" s="2" t="n">
        <v>16</v>
      </c>
      <c r="D17" s="2" t="inlineStr">
        <is>
          <t>DOE SBIR / STTR</t>
        </is>
      </c>
      <c r="E17" s="2" t="inlineStr">
        <is>
          <t>Government grant</t>
        </is>
      </c>
      <c r="F17" s="2" t="inlineStr">
        <is>
          <t>Topic-specific R&amp;D grant</t>
        </is>
      </c>
      <c r="G17" s="2" t="inlineStr">
        <is>
          <t>Energy / utilities / industrial efficiency</t>
        </is>
      </c>
      <c r="H17" s="2" t="inlineStr">
        <is>
          <t>Phase I candidates; topic dependent</t>
        </is>
      </c>
      <c r="I17" s="2" t="inlineStr">
        <is>
          <t>Eligibility gate first</t>
        </is>
      </c>
      <c r="J17" s="2" t="inlineStr">
        <is>
          <t>Very low</t>
        </is>
      </c>
      <c r="K17" s="2" t="inlineStr">
        <is>
          <t>Very low until gates cleared</t>
        </is>
      </c>
      <c r="L17" s="2" t="n">
        <v>5</v>
      </c>
      <c r="M17" s="2" t="n">
        <v>1</v>
      </c>
      <c r="N17" s="2" t="n">
        <v>2</v>
      </c>
      <c r="O17" s="2">
        <f>ROUND(L17*10+M17*6+N17*4,0)</f>
        <v/>
      </c>
      <c r="P17" s="2" t="inlineStr">
        <is>
          <t>US ownership/control and domestic R&amp;D; Phase II listings are not first-time Phase I opportunities.</t>
        </is>
      </c>
      <c r="Q17" s="2" t="inlineStr">
        <is>
          <t>Official programme active; relevant Phase I call unverified</t>
        </is>
      </c>
      <c r="R17" s="2" t="inlineStr">
        <is>
          <t>DOE SBIR programme via official page</t>
        </is>
      </c>
      <c r="S17" s="3" t="inlineStr">
        <is>
          <t>https://www.energy.gov/technologycommercialization/doe-small-business-innovation-research-sbir-and-small-business</t>
        </is>
      </c>
      <c r="T17" s="2" t="inlineStr">
        <is>
          <t>Not publicly confirmed; request current terms</t>
        </is>
      </c>
      <c r="U17" s="2" t="inlineStr">
        <is>
          <t>Request topic-fit guidance for conservation AIoT; resolve ownership and domestic work first.</t>
        </is>
      </c>
      <c r="V17" s="2" t="inlineStr">
        <is>
          <t>DOE publishes current programme and funding updates.</t>
        </is>
      </c>
      <c r="W17" s="3" t="inlineStr">
        <is>
          <t>https://www.energy.gov/technologycommercialization/doe-small-business-innovation-research-sbir-and-small-business</t>
        </is>
      </c>
      <c r="X17" s="4" t="n">
        <v>46301</v>
      </c>
    </row>
    <row r="18" ht="78" customHeight="1">
      <c r="A18" s="2" t="inlineStr">
        <is>
          <t>CC-017</t>
        </is>
      </c>
      <c r="B18" s="2" t="inlineStr">
        <is>
          <t>USA</t>
        </is>
      </c>
      <c r="C18" s="2" t="n">
        <v>17</v>
      </c>
      <c r="D18" s="2" t="inlineStr">
        <is>
          <t>Amazon Sustainability Accelerator Climate Tech</t>
        </is>
      </c>
      <c r="E18" s="2" t="inlineStr">
        <is>
          <t>Corporate accelerator</t>
        </is>
      </c>
      <c r="F18" s="2" t="inlineStr">
        <is>
          <t>Pilots / credits / limited expense support</t>
        </is>
      </c>
      <c r="G18" s="2" t="inlineStr">
        <is>
          <t>Water / AQ / ecological monitoring</t>
        </is>
      </c>
      <c r="H18" s="2" t="inlineStr">
        <is>
          <t>Prototype / pilot-ready</t>
        </is>
      </c>
      <c r="I18" s="2" t="inlineStr">
        <is>
          <t>Watch next intake</t>
        </is>
      </c>
      <c r="J18" s="2" t="inlineStr">
        <is>
          <t>Very low</t>
        </is>
      </c>
      <c r="K18" s="2" t="inlineStr">
        <is>
          <t>No direct cash confirmed</t>
        </is>
      </c>
      <c r="L18" s="2" t="n">
        <v>3</v>
      </c>
      <c r="M18" s="2" t="n">
        <v>1</v>
      </c>
      <c r="N18" s="2" t="n">
        <v>2</v>
      </c>
      <c r="O18" s="2">
        <f>ROUND(L18*10+M18*6+N18*4,0)</f>
        <v/>
      </c>
      <c r="P18" s="2" t="inlineStr">
        <is>
          <t>European programme scope; 2026 ecological focus; geographic fit must be screened.</t>
        </is>
      </c>
      <c r="Q18" s="2" t="inlineStr">
        <is>
          <t>2026 applications closed July; cohort selected</t>
        </is>
      </c>
      <c r="R18" s="2" t="inlineStr">
        <is>
          <t>Programme team via official page</t>
        </is>
      </c>
      <c r="S18" s="3" t="inlineStr">
        <is>
          <t>https://sustainability.aboutamazon.com/sustainability-accelerator-climate-tech</t>
        </is>
      </c>
      <c r="T18" s="2" t="inlineStr">
        <is>
          <t>2026 programme listed $10,000 eligible AWS credits; non-cash.</t>
        </is>
      </c>
      <c r="U18" s="2" t="inlineStr">
        <is>
          <t>Monitor next cycle; ask geographic eligibility. Do not book this as AWS grant revenue.</t>
        </is>
      </c>
      <c r="V18" s="2" t="inlineStr">
        <is>
          <t>Official cohort announcement confirms selection after applications closed.</t>
        </is>
      </c>
      <c r="W18" s="3" t="inlineStr">
        <is>
          <t>https://www.aboutamazon.eu/news/sustainability/sustainability-accelerator-climate-tech-programme-2026</t>
        </is>
      </c>
      <c r="X18" s="4" t="n">
        <v>46301</v>
      </c>
    </row>
    <row r="19" ht="78" customHeight="1">
      <c r="A19" s="2" t="inlineStr">
        <is>
          <t>CC-018</t>
        </is>
      </c>
      <c r="B19" s="2" t="inlineStr">
        <is>
          <t>USA</t>
        </is>
      </c>
      <c r="C19" s="2" t="n">
        <v>18</v>
      </c>
      <c r="D19" s="2" t="inlineStr">
        <is>
          <t>Vista Equity Partners</t>
        </is>
      </c>
      <c r="E19" s="2" t="inlineStr">
        <is>
          <t>PE</t>
        </is>
      </c>
      <c r="F19" s="2" t="inlineStr">
        <is>
          <t>Growth / buyout equity; portfolio commercial route</t>
        </is>
      </c>
      <c r="G19" s="2" t="inlineStr">
        <is>
          <t>Enterprise software / AI</t>
        </is>
      </c>
      <c r="H19" s="2" t="inlineStr">
        <is>
          <t>Current direct capital fit very low (analyst view)</t>
        </is>
      </c>
      <c r="I19" s="2" t="inlineStr">
        <is>
          <t>Later / portfolio route</t>
        </is>
      </c>
      <c r="J19" s="2" t="inlineStr">
        <is>
          <t>Very low</t>
        </is>
      </c>
      <c r="K19" s="2" t="inlineStr">
        <is>
          <t>Very low / defer</t>
        </is>
      </c>
      <c r="L19" s="2" t="n">
        <v>3</v>
      </c>
      <c r="M19" s="2" t="n">
        <v>1</v>
      </c>
      <c r="N19" s="2" t="n">
        <v>1</v>
      </c>
      <c r="O19" s="2">
        <f>ROUND(L19*10+M19*6+N19*4,0)</f>
        <v/>
      </c>
      <c r="P19" s="2" t="inlineStr">
        <is>
          <t>Mature software investment platform; no verified pre-revenue offer.</t>
        </is>
      </c>
      <c r="Q19" s="2" t="inlineStr">
        <is>
          <t>Official PE and contact pages</t>
        </is>
      </c>
      <c r="R19" s="2" t="inlineStr">
        <is>
          <t>Business inquiry via official contact page</t>
        </is>
      </c>
      <c r="S19" s="3" t="inlineStr">
        <is>
          <t>https://www.vistaequitypartners.com/contact/</t>
        </is>
      </c>
      <c r="T19" s="2" t="inlineStr">
        <is>
          <t>Not publicly confirmed; request current terms</t>
        </is>
      </c>
      <c r="U19" s="2" t="inlineStr">
        <is>
          <t>Defer direct raise; seek portfolio-company pilot or integration introduction.</t>
        </is>
      </c>
      <c r="V19" s="2" t="inlineStr">
        <is>
          <t>Authentic enterprise-software PE platform.</t>
        </is>
      </c>
      <c r="W19" s="3" t="inlineStr">
        <is>
          <t>https://www.vistaequitypartners.com/private-equity/</t>
        </is>
      </c>
      <c r="X19" s="4" t="n">
        <v>46301</v>
      </c>
    </row>
    <row r="20" ht="78" customHeight="1">
      <c r="A20" s="2" t="inlineStr">
        <is>
          <t>CC-019</t>
        </is>
      </c>
      <c r="B20" s="2" t="inlineStr">
        <is>
          <t>UAE</t>
        </is>
      </c>
      <c r="C20" s="2" t="n">
        <v>1</v>
      </c>
      <c r="D20" s="2" t="inlineStr">
        <is>
          <t>MBRIF Innovation Accelerator</t>
        </is>
      </c>
      <c r="E20" s="2" t="inlineStr">
        <is>
          <t>Government accelerator</t>
        </is>
      </c>
      <c r="F20" s="2" t="inlineStr">
        <is>
          <t>Non-equity services / market access</t>
        </is>
      </c>
      <c r="G20" s="2" t="inlineStr">
        <is>
          <t>Energy / water / health / technology</t>
        </is>
      </c>
      <c r="H20" s="2" t="inlineStr">
        <is>
          <t>Post-ideation / working prototype</t>
        </is>
      </c>
      <c r="I20" s="2" t="inlineStr">
        <is>
          <t>Contact now</t>
        </is>
      </c>
      <c r="J20" s="2" t="inlineStr">
        <is>
          <t>High</t>
        </is>
      </c>
      <c r="K20" s="2" t="inlineStr">
        <is>
          <t>No direct cash confirmed</t>
        </is>
      </c>
      <c r="L20" s="2" t="n">
        <v>5</v>
      </c>
      <c r="M20" s="2" t="n">
        <v>4</v>
      </c>
      <c r="N20" s="2" t="n">
        <v>4</v>
      </c>
      <c r="O20" s="2">
        <f>ROUND(L20*10+M20*6+N20*4,0)</f>
        <v/>
      </c>
      <c r="P20" s="2" t="inlineStr">
        <is>
          <t>UAE operation or credible setup plan; verify current cohort.</t>
        </is>
      </c>
      <c r="Q20" s="2" t="inlineStr">
        <is>
          <t>Apply route listed; cohort cutoff unconfirmed</t>
        </is>
      </c>
      <c r="R20" s="2" t="inlineStr">
        <is>
          <t>contact@mbrif.mof.gov.ae</t>
        </is>
      </c>
      <c r="S20" s="3" t="inlineStr">
        <is>
          <t>https://mbrif.ae/faq-2/</t>
        </is>
      </c>
      <c r="T20" s="2" t="inlineStr">
        <is>
          <t>Services and coaching, not an automatic cash grant; guarantee scheme is debt support.</t>
        </is>
      </c>
      <c r="U20" s="2" t="inlineStr">
        <is>
          <t>Ask current intake and energy/water pilot support using YesTechnik UAE entry plan.</t>
        </is>
      </c>
      <c r="V20" s="2" t="inlineStr">
        <is>
          <t>Global innovators accepted; no equity or membership fees; accelerator separate from loan guarantee.</t>
        </is>
      </c>
      <c r="W20" s="3" t="inlineStr">
        <is>
          <t>https://mbrif.ae/faq-2/</t>
        </is>
      </c>
      <c r="X20" s="4" t="n">
        <v>46301</v>
      </c>
    </row>
    <row r="21" ht="78" customHeight="1">
      <c r="A21" s="2" t="inlineStr">
        <is>
          <t>CC-020</t>
        </is>
      </c>
      <c r="B21" s="2" t="inlineStr">
        <is>
          <t>UAE</t>
        </is>
      </c>
      <c r="C21" s="2" t="n">
        <v>2</v>
      </c>
      <c r="D21" s="2" t="inlineStr">
        <is>
          <t>Emirates Green Building Council</t>
        </is>
      </c>
      <c r="E21" s="2" t="inlineStr">
        <is>
          <t>Industry consortium</t>
        </is>
      </c>
      <c r="F21" s="2" t="inlineStr">
        <is>
          <t>Retrofit / hospitality network; no direct grant</t>
        </is>
      </c>
      <c r="G21" s="2" t="inlineStr">
        <is>
          <t>Hospitality / commercial / residential</t>
        </is>
      </c>
      <c r="H21" s="2" t="inlineStr">
        <is>
          <t>Supplier membership access</t>
        </is>
      </c>
      <c r="I21" s="2" t="inlineStr">
        <is>
          <t>Contact now</t>
        </is>
      </c>
      <c r="J21" s="2" t="inlineStr">
        <is>
          <t>High</t>
        </is>
      </c>
      <c r="K21" s="2" t="inlineStr">
        <is>
          <t>No direct cash confirmed</t>
        </is>
      </c>
      <c r="L21" s="2" t="n">
        <v>5</v>
      </c>
      <c r="M21" s="2" t="n">
        <v>4</v>
      </c>
      <c r="N21" s="2" t="n">
        <v>4</v>
      </c>
      <c r="O21" s="2">
        <f>ROUND(L21*10+M21*6+N21*4,0)</f>
        <v/>
      </c>
      <c r="P21" s="2" t="inlineStr">
        <is>
          <t>Membership fees; programme participation not funding approval.</t>
        </is>
      </c>
      <c r="Q21" s="2" t="inlineStr">
        <is>
          <t>EEP and membership pages live</t>
        </is>
      </c>
      <c r="R21" s="2" t="inlineStr">
        <is>
          <t>EEP / membership team through contact page</t>
        </is>
      </c>
      <c r="S21" s="3" t="inlineStr">
        <is>
          <t>https://emiratesgbc.org/contact-us/</t>
        </is>
      </c>
      <c r="T21" s="2" t="inlineStr">
        <is>
          <t>Not publicly confirmed; request current terms</t>
        </is>
      </c>
      <c r="U21" s="2" t="inlineStr">
        <is>
          <t>Request hotel/building owner introductions for measured energy, comfort and AQ pilot.</t>
        </is>
      </c>
      <c r="V21" s="2" t="inlineStr">
        <is>
          <t>Energy Efficiency Program promotes retrofits; hospitality programmes also described.</t>
        </is>
      </c>
      <c r="W21" s="3" t="inlineStr">
        <is>
          <t>https://emiratesgbc.org/energy-efficiency-program/</t>
        </is>
      </c>
      <c r="X21" s="4" t="n">
        <v>46301</v>
      </c>
    </row>
    <row r="22" ht="78" customHeight="1">
      <c r="A22" s="2" t="inlineStr">
        <is>
          <t>CC-021</t>
        </is>
      </c>
      <c r="B22" s="2" t="inlineStr">
        <is>
          <t>UAE</t>
        </is>
      </c>
      <c r="C22" s="2" t="n">
        <v>3</v>
      </c>
      <c r="D22" s="2" t="inlineStr">
        <is>
          <t>NYU Abu Dhabi / startAD</t>
        </is>
      </c>
      <c r="E22" s="2" t="inlineStr">
        <is>
          <t>Academia / accelerator</t>
        </is>
      </c>
      <c r="F22" s="2" t="inlineStr">
        <is>
          <t>Corporate pilot matching / venture support</t>
        </is>
      </c>
      <c r="G22" s="2" t="inlineStr">
        <is>
          <t>AI / industry / health / sustainability</t>
        </is>
      </c>
      <c r="H22" s="2" t="inlineStr">
        <is>
          <t>Startup programmes; cohort dependent</t>
        </is>
      </c>
      <c r="I22" s="2" t="inlineStr">
        <is>
          <t>Contact now</t>
        </is>
      </c>
      <c r="J22" s="2" t="inlineStr">
        <is>
          <t>High</t>
        </is>
      </c>
      <c r="K22" s="2" t="inlineStr">
        <is>
          <t>No direct cash confirmed</t>
        </is>
      </c>
      <c r="L22" s="2" t="n">
        <v>5</v>
      </c>
      <c r="M22" s="2" t="n">
        <v>4</v>
      </c>
      <c r="N22" s="2" t="n">
        <v>4</v>
      </c>
      <c r="O22" s="2">
        <f>ROUND(L22*10+M22*6+N22*4,0)</f>
        <v/>
      </c>
      <c r="P22" s="2" t="inlineStr">
        <is>
          <t>Programme-specific sector and founder conditions; no general university grant assumed.</t>
        </is>
      </c>
      <c r="Q22" s="2" t="inlineStr">
        <is>
          <t>Programme directory and contact live</t>
        </is>
      </c>
      <c r="R22" s="2" t="inlineStr">
        <is>
          <t>startAD@nyu.edu</t>
        </is>
      </c>
      <c r="S22" s="3" t="inlineStr">
        <is>
          <t>https://startad.ae/contact/</t>
        </is>
      </c>
      <c r="T22" s="2" t="inlineStr">
        <is>
          <t>Not publicly confirmed; request current terms</t>
        </is>
      </c>
      <c r="U22" s="2" t="inlineStr">
        <is>
          <t>Request next relevant corporate sprint and university-supported validation route.</t>
        </is>
      </c>
      <c r="V22" s="2" t="inlineStr">
        <is>
          <t>NYUAD-anchored ecosystem lists corporate sprint and AI programmes.</t>
        </is>
      </c>
      <c r="W22" s="3" t="inlineStr">
        <is>
          <t>https://startad.ae/programs/</t>
        </is>
      </c>
      <c r="X22" s="4" t="n">
        <v>46301</v>
      </c>
    </row>
    <row r="23" ht="78" customHeight="1">
      <c r="A23" s="2" t="inlineStr">
        <is>
          <t>CC-022</t>
        </is>
      </c>
      <c r="B23" s="2" t="inlineStr">
        <is>
          <t>UAE</t>
        </is>
      </c>
      <c r="C23" s="2" t="n">
        <v>4</v>
      </c>
      <c r="D23" s="2" t="inlineStr">
        <is>
          <t>Hub71 Access</t>
        </is>
      </c>
      <c r="E23" s="2" t="inlineStr">
        <is>
          <t>Accelerator / investment support</t>
        </is>
      </c>
      <c r="F23" s="2" t="inlineStr">
        <is>
          <t>Incentives; equity terms to confirm</t>
        </is>
      </c>
      <c r="G23" s="2" t="inlineStr">
        <is>
          <t>AI / enterprise / infrastructure</t>
        </is>
      </c>
      <c r="H23" s="2" t="inlineStr">
        <is>
          <t>Application explicitly includes post-launch pre-revenue</t>
        </is>
      </c>
      <c r="I23" s="2" t="inlineStr">
        <is>
          <t>Contact now</t>
        </is>
      </c>
      <c r="J23" s="2" t="inlineStr">
        <is>
          <t>Medium</t>
        </is>
      </c>
      <c r="K23" s="2" t="inlineStr">
        <is>
          <t>No direct cash confirmed</t>
        </is>
      </c>
      <c r="L23" s="2" t="n">
        <v>5</v>
      </c>
      <c r="M23" s="2" t="n">
        <v>3</v>
      </c>
      <c r="N23" s="2" t="n">
        <v>3</v>
      </c>
      <c r="O23" s="2">
        <f>ROUND(L23*10+M23*6+N23*4,0)</f>
        <v/>
      </c>
      <c r="P23" s="2" t="inlineStr">
        <is>
          <t>Founder relocation question; Abu Dhabi plan and MVP required; verify admission and incentive terms.</t>
        </is>
      </c>
      <c r="Q23" s="2" t="inlineStr">
        <is>
          <t>Application form live; next selection unconfirmed</t>
        </is>
      </c>
      <c r="R23" s="2" t="inlineStr">
        <is>
          <t>Access admissions via application form</t>
        </is>
      </c>
      <c r="S23" s="3" t="inlineStr">
        <is>
          <t>https://www.hub71.com/program/access-programme/apply</t>
        </is>
      </c>
      <c r="T23" s="2" t="inlineStr">
        <is>
          <t>Not publicly confirmed; request current terms</t>
        </is>
      </c>
      <c r="U23" s="2" t="inlineStr">
        <is>
          <t>Request pre-revenue eligibility screening with MVP demo and Abu Dhabi pilot roadmap.</t>
        </is>
      </c>
      <c r="V23" s="2" t="inlineStr">
        <is>
          <t>Official application offers pre-revenue option and asks relocation plans.</t>
        </is>
      </c>
      <c r="W23" s="3" t="inlineStr">
        <is>
          <t>https://www.hub71.com/program/access-programme/apply</t>
        </is>
      </c>
      <c r="X23" s="4" t="n">
        <v>46301</v>
      </c>
    </row>
    <row r="24" ht="78" customHeight="1">
      <c r="A24" s="2" t="inlineStr">
        <is>
          <t>CC-023</t>
        </is>
      </c>
      <c r="B24" s="2" t="inlineStr">
        <is>
          <t>UAE</t>
        </is>
      </c>
      <c r="C24" s="2" t="n">
        <v>5</v>
      </c>
      <c r="D24" s="2" t="inlineStr">
        <is>
          <t>Shorooq venture capital</t>
        </is>
      </c>
      <c r="E24" s="2" t="inlineStr">
        <is>
          <t>VC</t>
        </is>
      </c>
      <c r="F24" s="2" t="inlineStr">
        <is>
          <t>Equity</t>
        </is>
      </c>
      <c r="G24" s="2" t="inlineStr">
        <is>
          <t>Software / frontier tech / platforms</t>
        </is>
      </c>
      <c r="H24" s="2" t="inlineStr">
        <is>
          <t>Pre-seed onward explicitly stated</t>
        </is>
      </c>
      <c r="I24" s="2" t="inlineStr">
        <is>
          <t>Contact now</t>
        </is>
      </c>
      <c r="J24" s="2" t="inlineStr">
        <is>
          <t>Medium</t>
        </is>
      </c>
      <c r="K24" s="2" t="inlineStr">
        <is>
          <t>Low to medium / competitive</t>
        </is>
      </c>
      <c r="L24" s="2" t="n">
        <v>5</v>
      </c>
      <c r="M24" s="2" t="n">
        <v>3</v>
      </c>
      <c r="N24" s="2" t="n">
        <v>3</v>
      </c>
      <c r="O24" s="2">
        <f>ROUND(L24*10+M24*6+N24*4,0)</f>
        <v/>
      </c>
      <c r="P24" s="2" t="inlineStr">
        <is>
          <t>Demonstrate MENA strategy and venture returns; pitch VC team, not PE or credit team.</t>
        </is>
      </c>
      <c r="Q24" s="2" t="inlineStr">
        <is>
          <t>Official early-stage mandate published</t>
        </is>
      </c>
      <c r="R24" s="2" t="inlineStr">
        <is>
          <t>VC investment team via official website</t>
        </is>
      </c>
      <c r="S24" s="3" t="inlineStr">
        <is>
          <t>https://www.shorooq.com/locations</t>
        </is>
      </c>
      <c r="T24" s="2" t="inlineStr">
        <is>
          <t>Not publicly confirmed; request current terms</t>
        </is>
      </c>
      <c r="U24" s="2" t="inlineStr">
        <is>
          <t>Request pre-seed review for CK/ESG with UAE hotel and industrial deployment wedge.</t>
        </is>
      </c>
      <c r="V24" s="2" t="inlineStr">
        <is>
          <t>Official VC mandate starts at pre-seed.</t>
        </is>
      </c>
      <c r="W24" s="3" t="inlineStr">
        <is>
          <t>https://www.shorooq.com/what-we-do/equity-venture-capital</t>
        </is>
      </c>
      <c r="X24" s="4" t="n">
        <v>46301</v>
      </c>
    </row>
    <row r="25" ht="78" customHeight="1">
      <c r="A25" s="2" t="inlineStr">
        <is>
          <t>CC-024</t>
        </is>
      </c>
      <c r="B25" s="2" t="inlineStr">
        <is>
          <t>UAE</t>
        </is>
      </c>
      <c r="C25" s="2" t="n">
        <v>6</v>
      </c>
      <c r="D25" s="2" t="inlineStr">
        <is>
          <t>Dubai Future Accelerators</t>
        </is>
      </c>
      <c r="E25" s="2" t="inlineStr">
        <is>
          <t>Government / corporate pilots</t>
        </is>
      </c>
      <c r="F25" s="2" t="inlineStr">
        <is>
          <t>Challenge collaboration; possible procurement</t>
        </is>
      </c>
      <c r="G25" s="2" t="inlineStr">
        <is>
          <t>Utilities / healthcare / smart infrastructure</t>
        </is>
      </c>
      <c r="H25" s="2" t="inlineStr">
        <is>
          <t>Prototype suitable; challenge dependent</t>
        </is>
      </c>
      <c r="I25" s="2" t="inlineStr">
        <is>
          <t>Contact now</t>
        </is>
      </c>
      <c r="J25" s="2" t="inlineStr">
        <is>
          <t>Medium</t>
        </is>
      </c>
      <c r="K25" s="2" t="inlineStr">
        <is>
          <t>No direct cash confirmed</t>
        </is>
      </c>
      <c r="L25" s="2" t="n">
        <v>5</v>
      </c>
      <c r="M25" s="2" t="n">
        <v>3</v>
      </c>
      <c r="N25" s="2" t="n">
        <v>3</v>
      </c>
      <c r="O25" s="2">
        <f>ROUND(L25*10+M25*6+N25*4,0)</f>
        <v/>
      </c>
      <c r="P25" s="2" t="inlineStr">
        <is>
          <t>Current challenge match; no guaranteed grant or purchase order.</t>
        </is>
      </c>
      <c r="Q25" s="2" t="inlineStr">
        <is>
          <t>Programme listed; matching live challenge unconfirmed</t>
        </is>
      </c>
      <c r="R25" s="2" t="inlineStr">
        <is>
          <t>Programme team via official initiative</t>
        </is>
      </c>
      <c r="S25" s="3" t="inlineStr">
        <is>
          <t>https://www.dubaifuture.ae/initiatives/future-design-and-acceleration/dubai-future-accelerators/</t>
        </is>
      </c>
      <c r="T25" s="2" t="inlineStr">
        <is>
          <t>Not publicly confirmed; request current terms</t>
        </is>
      </c>
      <c r="U25" s="2" t="inlineStr">
        <is>
          <t>Ask for current energy/water/health facility challenges and pilot submission route.</t>
        </is>
      </c>
      <c r="V25" s="2" t="inlineStr">
        <is>
          <t>Startups collaborate with government/private entities on specified challenges.</t>
        </is>
      </c>
      <c r="W25" s="3" t="inlineStr">
        <is>
          <t>https://www.dubaifuture.ae/initiatives/future-design-and-acceleration/dubai-future-accelerators/</t>
        </is>
      </c>
      <c r="X25" s="4" t="n">
        <v>46301</v>
      </c>
    </row>
    <row r="26" ht="78" customHeight="1">
      <c r="A26" s="2" t="inlineStr">
        <is>
          <t>CC-025</t>
        </is>
      </c>
      <c r="B26" s="2" t="inlineStr">
        <is>
          <t>UAE</t>
        </is>
      </c>
      <c r="C26" s="2" t="n">
        <v>7</v>
      </c>
      <c r="D26" s="2" t="inlineStr">
        <is>
          <t>Etihad ESCO</t>
        </is>
      </c>
      <c r="E26" s="2" t="inlineStr">
        <is>
          <t>Utility / ESCO partner</t>
        </is>
      </c>
      <c r="F26" s="2" t="inlineStr">
        <is>
          <t>Performance-contract pilot / supplier route</t>
        </is>
      </c>
      <c r="G26" s="2" t="inlineStr">
        <is>
          <t>Buildings / hotels / industrial</t>
        </is>
      </c>
      <c r="H26" s="2" t="inlineStr">
        <is>
          <t>Commercial partner; not seed fund</t>
        </is>
      </c>
      <c r="I26" s="2" t="inlineStr">
        <is>
          <t>Contact now</t>
        </is>
      </c>
      <c r="J26" s="2" t="inlineStr">
        <is>
          <t>Medium</t>
        </is>
      </c>
      <c r="K26" s="2" t="inlineStr">
        <is>
          <t>No direct cash confirmed</t>
        </is>
      </c>
      <c r="L26" s="2" t="n">
        <v>5</v>
      </c>
      <c r="M26" s="2" t="n">
        <v>3</v>
      </c>
      <c r="N26" s="2" t="n">
        <v>3</v>
      </c>
      <c r="O26" s="2">
        <f>ROUND(L26*10+M26*6+N26*4,0)</f>
        <v/>
      </c>
      <c r="P26" s="2" t="inlineStr">
        <is>
          <t>Supplier onboarding, site economics and verifiable savings needed; budget not guaranteed.</t>
        </is>
      </c>
      <c r="Q26" s="2" t="inlineStr">
        <is>
          <t>Public business contact page</t>
        </is>
      </c>
      <c r="R26" s="2" t="inlineStr">
        <is>
          <t>Business development via official contact page</t>
        </is>
      </c>
      <c r="S26" s="3" t="inlineStr">
        <is>
          <t>https://etihadesco.ae/contacts/</t>
        </is>
      </c>
      <c r="T26" s="2" t="inlineStr">
        <is>
          <t>Not publicly confirmed; request current terms</t>
        </is>
      </c>
      <c r="U26" s="2" t="inlineStr">
        <is>
          <t>Propose CK energy anomaly and monitoring package as an ESCO integration pilot.</t>
        </is>
      </c>
      <c r="V26" s="2" t="inlineStr">
        <is>
          <t>Official energy-services company and contact route.</t>
        </is>
      </c>
      <c r="W26" s="3" t="inlineStr">
        <is>
          <t>https://etihadesco.ae/</t>
        </is>
      </c>
      <c r="X26" s="4" t="n">
        <v>46301</v>
      </c>
    </row>
    <row r="27" ht="78" customHeight="1">
      <c r="A27" s="2" t="inlineStr">
        <is>
          <t>CC-026</t>
        </is>
      </c>
      <c r="B27" s="2" t="inlineStr">
        <is>
          <t>UAE</t>
        </is>
      </c>
      <c r="C27" s="2" t="n">
        <v>8</v>
      </c>
      <c r="D27" s="2" t="inlineStr">
        <is>
          <t>Khalifa University</t>
        </is>
      </c>
      <c r="E27" s="2" t="inlineStr">
        <is>
          <t>Academia</t>
        </is>
      </c>
      <c r="F27" s="2" t="inlineStr">
        <is>
          <t>Research collaboration / technology licensing</t>
        </is>
      </c>
      <c r="G27" s="2" t="inlineStr">
        <is>
          <t>Energy / water / industrial / IoT</t>
        </is>
      </c>
      <c r="H27" s="2" t="inlineStr">
        <is>
          <t>Industry collaboration; not startup grant</t>
        </is>
      </c>
      <c r="I27" s="2" t="inlineStr">
        <is>
          <t>Contact now</t>
        </is>
      </c>
      <c r="J27" s="2" t="inlineStr">
        <is>
          <t>High</t>
        </is>
      </c>
      <c r="K27" s="2" t="inlineStr">
        <is>
          <t>No direct cash confirmed</t>
        </is>
      </c>
      <c r="L27" s="2" t="n">
        <v>4</v>
      </c>
      <c r="M27" s="2" t="n">
        <v>4</v>
      </c>
      <c r="N27" s="2" t="n">
        <v>3</v>
      </c>
      <c r="O27" s="2">
        <f>ROUND(L27*10+M27*6+N27*4,0)</f>
        <v/>
      </c>
      <c r="P27" s="2" t="inlineStr">
        <is>
          <t>Research budget, faculty sponsorship and IP terms; inquiry routed through research office.</t>
        </is>
      </c>
      <c r="Q27" s="2" t="inlineStr">
        <is>
          <t>Research and technology contacts published</t>
        </is>
      </c>
      <c r="R27" s="2" t="inlineStr">
        <is>
          <t>ors@ku.ac.ae (research) | ip@ku.ac.ae (licensing)</t>
        </is>
      </c>
      <c r="S27" s="3" t="inlineStr">
        <is>
          <t>https://www.ku.ac.ae/research-offices/technology-management-innovation/commercial-agreements</t>
        </is>
      </c>
      <c r="T27" s="2" t="inlineStr">
        <is>
          <t>Not publicly confirmed; request current terms</t>
        </is>
      </c>
      <c r="U27" s="2" t="inlineStr">
        <is>
          <t>Request applied energy/AQ sensor and industrial PdM research collaboration.</t>
        </is>
      </c>
      <c r="V27" s="2" t="inlineStr">
        <is>
          <t>Industry partnership department and research-services route documented.</t>
        </is>
      </c>
      <c r="W27" s="3" t="inlineStr">
        <is>
          <t>https://www.ku.ac.ae/research/research-administration/</t>
        </is>
      </c>
      <c r="X27" s="4" t="n">
        <v>46301</v>
      </c>
    </row>
    <row r="28" ht="78" customHeight="1">
      <c r="A28" s="2" t="inlineStr">
        <is>
          <t>CC-027</t>
        </is>
      </c>
      <c r="B28" s="2" t="inlineStr">
        <is>
          <t>UAE</t>
        </is>
      </c>
      <c r="C28" s="2" t="n">
        <v>9</v>
      </c>
      <c r="D28" s="2" t="inlineStr">
        <is>
          <t>Dtec SANDBOX</t>
        </is>
      </c>
      <c r="E28" s="2" t="inlineStr">
        <is>
          <t>Accelerator</t>
        </is>
      </c>
      <c r="F28" s="2" t="inlineStr">
        <is>
          <t>Founder development / investor access</t>
        </is>
      </c>
      <c r="G28" s="2" t="inlineStr">
        <is>
          <t>B2B tech / AI / IoT</t>
        </is>
      </c>
      <c r="H28" s="2" t="inlineStr">
        <is>
          <t>Early-stage programme</t>
        </is>
      </c>
      <c r="I28" s="2" t="inlineStr">
        <is>
          <t>Contact now</t>
        </is>
      </c>
      <c r="J28" s="2" t="inlineStr">
        <is>
          <t>Medium</t>
        </is>
      </c>
      <c r="K28" s="2" t="inlineStr">
        <is>
          <t>No direct cash confirmed</t>
        </is>
      </c>
      <c r="L28" s="2" t="n">
        <v>4</v>
      </c>
      <c r="M28" s="2" t="n">
        <v>3</v>
      </c>
      <c r="N28" s="2" t="n">
        <v>3</v>
      </c>
      <c r="O28" s="2">
        <f>ROUND(L28*10+M28*6+N28*4,0)</f>
        <v/>
      </c>
      <c r="P28" s="2" t="inlineStr">
        <is>
          <t>Dubai presence, fees/equity/credits and current eligibility must be reconfirmed; do not reuse old award figures.</t>
        </is>
      </c>
      <c r="Q28" s="2" t="inlineStr">
        <is>
          <t>Official page points to SANDBOX application</t>
        </is>
      </c>
      <c r="R28" s="2" t="inlineStr">
        <is>
          <t>SANDBOX programme application team</t>
        </is>
      </c>
      <c r="S28" s="3" t="inlineStr">
        <is>
          <t>https://dtec.ae/programs/</t>
        </is>
      </c>
      <c r="T28" s="2" t="inlineStr">
        <is>
          <t>Not publicly confirmed; request current terms</t>
        </is>
      </c>
      <c r="U28" s="2" t="inlineStr">
        <is>
          <t>Ask current terms and fit for pre-revenue US company with UAE partner pipeline.</t>
        </is>
      </c>
      <c r="V28" s="2" t="inlineStr">
        <is>
          <t>Official Dtec programme page supplies application route.</t>
        </is>
      </c>
      <c r="W28" s="3" t="inlineStr">
        <is>
          <t>https://dtec.ae/programs/</t>
        </is>
      </c>
      <c r="X28" s="4" t="n">
        <v>46301</v>
      </c>
    </row>
    <row r="29" ht="78" customHeight="1">
      <c r="A29" s="2" t="inlineStr">
        <is>
          <t>CC-028</t>
        </is>
      </c>
      <c r="B29" s="2" t="inlineStr">
        <is>
          <t>UAE</t>
        </is>
      </c>
      <c r="C29" s="2" t="n">
        <v>10</v>
      </c>
      <c r="D29" s="2" t="inlineStr">
        <is>
          <t>MBZUAI Incubation &amp; Entrepreneurship Center</t>
        </is>
      </c>
      <c r="E29" s="2" t="inlineStr">
        <is>
          <t>Academia / AI ecosystem</t>
        </is>
      </c>
      <c r="F29" s="2" t="inlineStr">
        <is>
          <t>Demo Day / research-founder engagement</t>
        </is>
      </c>
      <c r="G29" s="2" t="inlineStr">
        <is>
          <t>AI / predictive maintenance / health infrastructure</t>
        </is>
      </c>
      <c r="H29" s="2" t="inlineStr">
        <is>
          <t>External community opportunities</t>
        </is>
      </c>
      <c r="I29" s="2" t="inlineStr">
        <is>
          <t>Contact now</t>
        </is>
      </c>
      <c r="J29" s="2" t="inlineStr">
        <is>
          <t>Medium</t>
        </is>
      </c>
      <c r="K29" s="2" t="inlineStr">
        <is>
          <t>No direct cash confirmed</t>
        </is>
      </c>
      <c r="L29" s="2" t="n">
        <v>4</v>
      </c>
      <c r="M29" s="2" t="n">
        <v>3</v>
      </c>
      <c r="N29" s="2" t="n">
        <v>3</v>
      </c>
      <c r="O29" s="2">
        <f>ROUND(L29*10+M29*6+N29*4,0)</f>
        <v/>
      </c>
      <c r="P29" s="2" t="inlineStr">
        <is>
          <t>IEC grants exclusively for MBZUAI-affiliated founders; Inspironics affiliation not established.</t>
        </is>
      </c>
      <c r="Q29" s="2" t="inlineStr">
        <is>
          <t>External events listed; grant eligibility blocked absent affiliation</t>
        </is>
      </c>
      <c r="R29" s="2" t="inlineStr">
        <is>
          <t>iec@mbzuai.ac.ae</t>
        </is>
      </c>
      <c r="S29" s="3" t="inlineStr">
        <is>
          <t>https://mbzuai.ac.ae/innovation-partnerships/incubation-entrepreneurship-center</t>
        </is>
      </c>
      <c r="T29" s="2" t="inlineStr">
        <is>
          <t>Not publicly confirmed; request current terms</t>
        </is>
      </c>
      <c r="U29" s="2" t="inlineStr">
        <is>
          <t>Request Demo Day participation and research collaboration, not an unaffiliated grant.</t>
        </is>
      </c>
      <c r="V29" s="2" t="inlineStr">
        <is>
          <t>External events open; grant limited to affiliated founders.</t>
        </is>
      </c>
      <c r="W29" s="3" t="inlineStr">
        <is>
          <t>https://mbzuai.ac.ae/innovation-partnerships/incubation-entrepreneurship-center</t>
        </is>
      </c>
      <c r="X29" s="4" t="n">
        <v>46301</v>
      </c>
    </row>
    <row r="30" ht="78" customHeight="1">
      <c r="A30" s="2" t="inlineStr">
        <is>
          <t>CC-029</t>
        </is>
      </c>
      <c r="B30" s="2" t="inlineStr">
        <is>
          <t>UAE</t>
        </is>
      </c>
      <c r="C30" s="2" t="n">
        <v>11</v>
      </c>
      <c r="D30" s="2" t="inlineStr">
        <is>
          <t>Wamda Capital</t>
        </is>
      </c>
      <c r="E30" s="2" t="inlineStr">
        <is>
          <t>VC</t>
        </is>
      </c>
      <c r="F30" s="2" t="inlineStr">
        <is>
          <t>Equity</t>
        </is>
      </c>
      <c r="G30" s="2" t="inlineStr">
        <is>
          <t>Enterprise tech / MENA</t>
        </is>
      </c>
      <c r="H30" s="2" t="inlineStr">
        <is>
          <t>High-growth technology; pre-revenue policy unverified</t>
        </is>
      </c>
      <c r="I30" s="2" t="inlineStr">
        <is>
          <t>Conditional screen</t>
        </is>
      </c>
      <c r="J30" s="2" t="inlineStr">
        <is>
          <t>Low</t>
        </is>
      </c>
      <c r="K30" s="2" t="inlineStr">
        <is>
          <t>Low to medium / competitive</t>
        </is>
      </c>
      <c r="L30" s="2" t="n">
        <v>4</v>
      </c>
      <c r="M30" s="2" t="n">
        <v>2</v>
      </c>
      <c r="N30" s="2" t="n">
        <v>3</v>
      </c>
      <c r="O30" s="2">
        <f>ROUND(L30*10+M30*6+N30*4,0)</f>
        <v/>
      </c>
      <c r="P30" s="2" t="inlineStr">
        <is>
          <t>MENA relevance; ask stage fit before full diligence.</t>
        </is>
      </c>
      <c r="Q30" s="2" t="inlineStr">
        <is>
          <t>Official investment and contact pages</t>
        </is>
      </c>
      <c r="R30" s="2" t="inlineStr">
        <is>
          <t>info@wamdacapital.com</t>
        </is>
      </c>
      <c r="S30" s="3" t="inlineStr">
        <is>
          <t>https://wamdacapital.com/contact-us/</t>
        </is>
      </c>
      <c r="T30" s="2" t="inlineStr">
        <is>
          <t>Not publicly confirmed; request current terms</t>
        </is>
      </c>
      <c r="U30" s="2" t="inlineStr">
        <is>
          <t>Send brief stage-fit inquiry for UAE hospitality AIoT; seek partner referral.</t>
        </is>
      </c>
      <c r="V30" s="2" t="inlineStr">
        <is>
          <t>Official investment vehicle described as high-growth technology investor.</t>
        </is>
      </c>
      <c r="W30" s="3" t="inlineStr">
        <is>
          <t>https://www.wamda.com/about</t>
        </is>
      </c>
      <c r="X30" s="4" t="n">
        <v>46301</v>
      </c>
    </row>
    <row r="31" ht="78" customHeight="1">
      <c r="A31" s="2" t="inlineStr">
        <is>
          <t>CC-030</t>
        </is>
      </c>
      <c r="B31" s="2" t="inlineStr">
        <is>
          <t>UAE</t>
        </is>
      </c>
      <c r="C31" s="2" t="n">
        <v>12</v>
      </c>
      <c r="D31" s="2" t="inlineStr">
        <is>
          <t>Gulf Capital</t>
        </is>
      </c>
      <c r="E31" s="2" t="inlineStr">
        <is>
          <t>PE</t>
        </is>
      </c>
      <c r="F31" s="2" t="inlineStr">
        <is>
          <t>Growth equity / portfolio partnership</t>
        </is>
      </c>
      <c r="G31" s="2" t="inlineStr">
        <is>
          <t>Technology / industrial / healthcare</t>
        </is>
      </c>
      <c r="H31" s="2" t="inlineStr">
        <is>
          <t>Current direct capital fit very low (analyst view)</t>
        </is>
      </c>
      <c r="I31" s="2" t="inlineStr">
        <is>
          <t>Later / portfolio route</t>
        </is>
      </c>
      <c r="J31" s="2" t="inlineStr">
        <is>
          <t>Very low</t>
        </is>
      </c>
      <c r="K31" s="2" t="inlineStr">
        <is>
          <t>Very low / defer</t>
        </is>
      </c>
      <c r="L31" s="2" t="n">
        <v>3</v>
      </c>
      <c r="M31" s="2" t="n">
        <v>1</v>
      </c>
      <c r="N31" s="2" t="n">
        <v>1</v>
      </c>
      <c r="O31" s="2">
        <f>ROUND(L31*10+M31*6+N31*4,0)</f>
        <v/>
      </c>
      <c r="P31" s="2" t="inlineStr">
        <is>
          <t>Growth PE mandate; no pre-revenue financing offer verified.</t>
        </is>
      </c>
      <c r="Q31" s="2" t="inlineStr">
        <is>
          <t>Official strategy and contact pages</t>
        </is>
      </c>
      <c r="R31" s="2" t="inlineStr">
        <is>
          <t>info@gulfcapital.com</t>
        </is>
      </c>
      <c r="S31" s="3" t="inlineStr">
        <is>
          <t>https://www.gulfcapital.com/contact-us</t>
        </is>
      </c>
      <c r="T31" s="2" t="inlineStr">
        <is>
          <t>Not publicly confirmed; request current terms</t>
        </is>
      </c>
      <c r="U31" s="2" t="inlineStr">
        <is>
          <t>Seek portfolio pilot introduction after local proof; defer primary raise.</t>
        </is>
      </c>
      <c r="V31" s="2" t="inlineStr">
        <is>
          <t>Authentic growth/private equity firm.</t>
        </is>
      </c>
      <c r="W31" s="3" t="inlineStr">
        <is>
          <t>https://www.gulfcapital.com/the-firm</t>
        </is>
      </c>
      <c r="X31" s="4" t="n">
        <v>46301</v>
      </c>
    </row>
    <row r="32" ht="78" customHeight="1">
      <c r="A32" s="2" t="inlineStr">
        <is>
          <t>CC-031</t>
        </is>
      </c>
      <c r="B32" s="2" t="inlineStr">
        <is>
          <t>Singapore</t>
        </is>
      </c>
      <c r="C32" s="2" t="n">
        <v>1</v>
      </c>
      <c r="D32" s="2" t="inlineStr">
        <is>
          <t>NTU Energy Research Institute (ERI@N)</t>
        </is>
      </c>
      <c r="E32" s="2" t="inlineStr">
        <is>
          <t>Academia</t>
        </is>
      </c>
      <c r="F32" s="2" t="inlineStr">
        <is>
          <t>Industry research collaboration</t>
        </is>
      </c>
      <c r="G32" s="2" t="inlineStr">
        <is>
          <t>Energy / buildings / industrial</t>
        </is>
      </c>
      <c r="H32" s="2" t="inlineStr">
        <is>
          <t>Industry collaboration route</t>
        </is>
      </c>
      <c r="I32" s="2" t="inlineStr">
        <is>
          <t>Contact now</t>
        </is>
      </c>
      <c r="J32" s="2" t="inlineStr">
        <is>
          <t>High</t>
        </is>
      </c>
      <c r="K32" s="2" t="inlineStr">
        <is>
          <t>No direct cash confirmed</t>
        </is>
      </c>
      <c r="L32" s="2" t="n">
        <v>5</v>
      </c>
      <c r="M32" s="2" t="n">
        <v>4</v>
      </c>
      <c r="N32" s="2" t="n">
        <v>4</v>
      </c>
      <c r="O32" s="2">
        <f>ROUND(L32*10+M32*6+N32*4,0)</f>
        <v/>
      </c>
      <c r="P32" s="2" t="inlineStr">
        <is>
          <t>Budget and research agreement; foreground IP terms must be agreed.</t>
        </is>
      </c>
      <c r="Q32" s="2" t="inlineStr">
        <is>
          <t>Industry partnership mailbox published</t>
        </is>
      </c>
      <c r="R32" s="2" t="inlineStr">
        <is>
          <t>d-erian@ntu.edu.sg | +65 6592 1786</t>
        </is>
      </c>
      <c r="S32" s="3" t="inlineStr">
        <is>
          <t>https://www.ntu.edu.sg/erian/industry-partners</t>
        </is>
      </c>
      <c r="T32" s="2" t="inlineStr">
        <is>
          <t>Not publicly confirmed; request current terms</t>
        </is>
      </c>
      <c r="U32" s="2" t="inlineStr">
        <is>
          <t>Request measured energy optimization validation and joint GBIC scoping.</t>
        </is>
      </c>
      <c r="V32" s="2" t="inlineStr">
        <is>
          <t>Institute invites collaboration and documents industry research/IP agreements.</t>
        </is>
      </c>
      <c r="W32" s="3" t="inlineStr">
        <is>
          <t>https://www.ntu.edu.sg/erian/industry-partners</t>
        </is>
      </c>
      <c r="X32" s="4" t="n">
        <v>46301</v>
      </c>
    </row>
    <row r="33" ht="78" customHeight="1">
      <c r="A33" s="2" t="inlineStr">
        <is>
          <t>CC-032</t>
        </is>
      </c>
      <c r="B33" s="2" t="inlineStr">
        <is>
          <t>Singapore</t>
        </is>
      </c>
      <c r="C33" s="2" t="n">
        <v>2</v>
      </c>
      <c r="D33" s="2" t="inlineStr">
        <is>
          <t>A*STAR ARTC</t>
        </is>
      </c>
      <c r="E33" s="2" t="inlineStr">
        <is>
          <t>Industry consortium / research</t>
        </is>
      </c>
      <c r="F33" s="2" t="inlineStr">
        <is>
          <t>Co-development / manufacturing testbed</t>
        </is>
      </c>
      <c r="G33" s="2" t="inlineStr">
        <is>
          <t>Factories / aerospace supply chain / PdM / OEE</t>
        </is>
      </c>
      <c r="H33" s="2" t="inlineStr">
        <is>
          <t>Consortium includes startups</t>
        </is>
      </c>
      <c r="I33" s="2" t="inlineStr">
        <is>
          <t>Contact now</t>
        </is>
      </c>
      <c r="J33" s="2" t="inlineStr">
        <is>
          <t>High</t>
        </is>
      </c>
      <c r="K33" s="2" t="inlineStr">
        <is>
          <t>No direct cash confirmed</t>
        </is>
      </c>
      <c r="L33" s="2" t="n">
        <v>5</v>
      </c>
      <c r="M33" s="2" t="n">
        <v>4</v>
      </c>
      <c r="N33" s="2" t="n">
        <v>3</v>
      </c>
      <c r="O33" s="2">
        <f>ROUND(L33*10+M33*6+N33*4,0)</f>
        <v/>
      </c>
      <c r="P33" s="2" t="inlineStr">
        <is>
          <t>Membership fees, local project structure and scope; not free seed capital.</t>
        </is>
      </c>
      <c r="Q33" s="2" t="inlineStr">
        <is>
          <t>Membership and business mailbox live</t>
        </is>
      </c>
      <c r="R33" s="2" t="inlineStr">
        <is>
          <t>artc_techbiz_admin@a-star.edu.sg</t>
        </is>
      </c>
      <c r="S33" s="3" t="inlineStr">
        <is>
          <t>https://www.a-star.edu.sg/artc/contact-us</t>
        </is>
      </c>
      <c r="T33" s="2" t="inlineStr">
        <is>
          <t>Not publicly confirmed; request current terms</t>
        </is>
      </c>
      <c r="U33" s="2" t="inlineStr">
        <is>
          <t>Request startup-tier access and a PdM/OEE demonstrator with manufacturing member.</t>
        </is>
      </c>
      <c r="V33" s="2" t="inlineStr">
        <is>
          <t>Official manufacturing consortium includes startups.</t>
        </is>
      </c>
      <c r="W33" s="3" t="inlineStr">
        <is>
          <t>https://www.a-star.edu.sg/artc/</t>
        </is>
      </c>
      <c r="X33" s="4" t="n">
        <v>46301</v>
      </c>
    </row>
    <row r="34" ht="78" customHeight="1">
      <c r="A34" s="2" t="inlineStr">
        <is>
          <t>CC-033</t>
        </is>
      </c>
      <c r="B34" s="2" t="inlineStr">
        <is>
          <t>Singapore</t>
        </is>
      </c>
      <c r="C34" s="2" t="n">
        <v>3</v>
      </c>
      <c r="D34" s="2" t="inlineStr">
        <is>
          <t>Wavemaker Ventures</t>
        </is>
      </c>
      <c r="E34" s="2" t="inlineStr">
        <is>
          <t>VC</t>
        </is>
      </c>
      <c r="F34" s="2" t="inlineStr">
        <is>
          <t>Equity</t>
        </is>
      </c>
      <c r="G34" s="2" t="inlineStr">
        <is>
          <t>Enterprise / deep tech / sustainability</t>
        </is>
      </c>
      <c r="H34" s="2" t="inlineStr">
        <is>
          <t>Early-stage explicitly stated</t>
        </is>
      </c>
      <c r="I34" s="2" t="inlineStr">
        <is>
          <t>Contact now</t>
        </is>
      </c>
      <c r="J34" s="2" t="inlineStr">
        <is>
          <t>Medium</t>
        </is>
      </c>
      <c r="K34" s="2" t="inlineStr">
        <is>
          <t>Low to medium / competitive</t>
        </is>
      </c>
      <c r="L34" s="2" t="n">
        <v>5</v>
      </c>
      <c r="M34" s="2" t="n">
        <v>3</v>
      </c>
      <c r="N34" s="2" t="n">
        <v>3</v>
      </c>
      <c r="O34" s="2">
        <f>ROUND(L34*10+M34*6+N34*4,0)</f>
        <v/>
      </c>
      <c r="P34" s="2" t="inlineStr">
        <is>
          <t>Southeast Asia commercial relevance; technical depth and investable entity/IP.</t>
        </is>
      </c>
      <c r="Q34" s="2" t="inlineStr">
        <is>
          <t>Official thesis and contact route</t>
        </is>
      </c>
      <c r="R34" s="2" t="inlineStr">
        <is>
          <t>Pitch team via official contact form; warm intro preferred</t>
        </is>
      </c>
      <c r="S34" s="3" t="inlineStr">
        <is>
          <t>https://wavemaker.vc/contact-us/</t>
        </is>
      </c>
      <c r="T34" s="2" t="inlineStr">
        <is>
          <t>Not publicly confirmed; request current terms</t>
        </is>
      </c>
      <c r="U34" s="2" t="inlineStr">
        <is>
          <t>Use Dr. Vijendran network where available for CK/ESG first-institutional-round introduction.</t>
        </is>
      </c>
      <c r="V34" s="2" t="inlineStr">
        <is>
          <t>Official early-stage thesis closely matches enterprise and sustainability.</t>
        </is>
      </c>
      <c r="W34" s="3" t="inlineStr">
        <is>
          <t>https://wavemaker.vc/our-investment-thesis/</t>
        </is>
      </c>
      <c r="X34" s="4" t="n">
        <v>46301</v>
      </c>
    </row>
    <row r="35" ht="78" customHeight="1">
      <c r="A35" s="2" t="inlineStr">
        <is>
          <t>CC-034</t>
        </is>
      </c>
      <c r="B35" s="2" t="inlineStr">
        <is>
          <t>Singapore</t>
        </is>
      </c>
      <c r="C35" s="2" t="n">
        <v>4</v>
      </c>
      <c r="D35" s="2" t="inlineStr">
        <is>
          <t>BCA Green Buildings Innovation Cluster</t>
        </is>
      </c>
      <c r="E35" s="2" t="inlineStr">
        <is>
          <t>Government RD&amp;D</t>
        </is>
      </c>
      <c r="F35" s="2" t="inlineStr">
        <is>
          <t>Co-funded R&amp;D / product prototyping</t>
        </is>
      </c>
      <c r="G35" s="2" t="inlineStr">
        <is>
          <t>Buildings / hospitality / comfort / AQ</t>
        </is>
      </c>
      <c r="H35" s="2" t="inlineStr">
        <is>
          <t>R&amp;D TRL3; product prototyping TRL5</t>
        </is>
      </c>
      <c r="I35" s="2" t="inlineStr">
        <is>
          <t>Contact now</t>
        </is>
      </c>
      <c r="J35" s="2" t="inlineStr">
        <is>
          <t>Medium</t>
        </is>
      </c>
      <c r="K35" s="2" t="inlineStr">
        <is>
          <t>No direct cash confirmed</t>
        </is>
      </c>
      <c r="L35" s="2" t="n">
        <v>5</v>
      </c>
      <c r="M35" s="2" t="n">
        <v>3</v>
      </c>
      <c r="N35" s="2" t="n">
        <v>3</v>
      </c>
      <c r="O35" s="2">
        <f>ROUND(L35*10+M35*6+N35*4,0)</f>
        <v/>
      </c>
      <c r="P35" s="2" t="inlineStr">
        <is>
          <t>Research collaborator and building adopter; cost share; R&amp;D &gt;S$0.5m requires public research collaborator. Overseas solutions mentioned; confirm applicant structure.</t>
        </is>
      </c>
      <c r="Q35" s="2" t="inlineStr">
        <is>
          <t>Current official page updated Sep 1 2026; call acceptance to confirm</t>
        </is>
      </c>
      <c r="R35" s="2" t="inlineStr">
        <is>
          <t>BCA_GBIC@bca.gov.sg</t>
        </is>
      </c>
      <c r="S35" s="3" t="inlineStr">
        <is>
          <t>https://www1.bca.gov.sg/sustainability/green-buildings-innovation-cluster-gbic-programme/</t>
        </is>
      </c>
      <c r="T35" s="2" t="inlineStr">
        <is>
          <t>Private sector up to 70%; product prototyping cap S$500,000; conditional co-funding.</t>
        </is>
      </c>
      <c r="U35" s="2" t="inlineStr">
        <is>
          <t>Request scoping call with NTU/SUTD plus building owner for CK controls/AQ pilot.</t>
        </is>
      </c>
      <c r="V35" s="2" t="inlineStr">
        <is>
          <t>GBIC supports development and prototyping with energy-performance thresholds.</t>
        </is>
      </c>
      <c r="W35" s="3" t="inlineStr">
        <is>
          <t>https://www1.bca.gov.sg/sustainability/green-buildings-innovation-cluster-gbic-programme/</t>
        </is>
      </c>
      <c r="X35" s="4" t="n">
        <v>46301</v>
      </c>
    </row>
    <row r="36" ht="78" customHeight="1">
      <c r="A36" s="2" t="inlineStr">
        <is>
          <t>CC-035</t>
        </is>
      </c>
      <c r="B36" s="2" t="inlineStr">
        <is>
          <t>Singapore</t>
        </is>
      </c>
      <c r="C36" s="2" t="n">
        <v>5</v>
      </c>
      <c r="D36" s="2" t="inlineStr">
        <is>
          <t>SUTD industry collaborations</t>
        </is>
      </c>
      <c r="E36" s="2" t="inlineStr">
        <is>
          <t>Academia</t>
        </is>
      </c>
      <c r="F36" s="2" t="inlineStr">
        <is>
          <t>Research / capstone / licensing</t>
        </is>
      </c>
      <c r="G36" s="2" t="inlineStr">
        <is>
          <t>IoT / digital twins / buildings / AI</t>
        </is>
      </c>
      <c r="H36" s="2" t="inlineStr">
        <is>
          <t>Industry collaboration route</t>
        </is>
      </c>
      <c r="I36" s="2" t="inlineStr">
        <is>
          <t>Contact now</t>
        </is>
      </c>
      <c r="J36" s="2" t="inlineStr">
        <is>
          <t>High</t>
        </is>
      </c>
      <c r="K36" s="2" t="inlineStr">
        <is>
          <t>No direct cash confirmed</t>
        </is>
      </c>
      <c r="L36" s="2" t="n">
        <v>4</v>
      </c>
      <c r="M36" s="2" t="n">
        <v>4</v>
      </c>
      <c r="N36" s="2" t="n">
        <v>4</v>
      </c>
      <c r="O36" s="2">
        <f>ROUND(L36*10+M36*6+N36*4,0)</f>
        <v/>
      </c>
      <c r="P36" s="2" t="inlineStr">
        <is>
          <t>Sponsored scope, faculty match and IP terms; no automatic cash award.</t>
        </is>
      </c>
      <c r="Q36" s="2" t="inlineStr">
        <is>
          <t>Industry mailbox published</t>
        </is>
      </c>
      <c r="R36" s="2" t="inlineStr">
        <is>
          <t>partnerships@sutd.edu.sg</t>
        </is>
      </c>
      <c r="S36" s="3" t="inlineStr">
        <is>
          <t>https://www.sutd.edu.sg/contact-us/contact-sutd/</t>
        </is>
      </c>
      <c r="T36" s="2" t="inlineStr">
        <is>
          <t>Not publicly confirmed; request current terms</t>
        </is>
      </c>
      <c r="U36" s="2" t="inlineStr">
        <is>
          <t>Request sensor-to-digital-twin research/capstone brief for a building pilot.</t>
        </is>
      </c>
      <c r="V36" s="2" t="inlineStr">
        <is>
          <t>Official industry partnership and research collaboration routes.</t>
        </is>
      </c>
      <c r="W36" s="3" t="inlineStr">
        <is>
          <t>https://www.sutd.edu.sg/about/partnering-with-sutd/</t>
        </is>
      </c>
      <c r="X36" s="4" t="n">
        <v>46301</v>
      </c>
    </row>
    <row r="37" ht="78" customHeight="1">
      <c r="A37" s="2" t="inlineStr">
        <is>
          <t>CC-036</t>
        </is>
      </c>
      <c r="B37" s="2" t="inlineStr">
        <is>
          <t>Singapore</t>
        </is>
      </c>
      <c r="C37" s="2" t="n">
        <v>6</v>
      </c>
      <c r="D37" s="2" t="inlineStr">
        <is>
          <t>NUS Research Concierge</t>
        </is>
      </c>
      <c r="E37" s="2" t="inlineStr">
        <is>
          <t>Academia</t>
        </is>
      </c>
      <c r="F37" s="2" t="inlineStr">
        <is>
          <t>Research matchmaking / validation</t>
        </is>
      </c>
      <c r="G37" s="2" t="inlineStr">
        <is>
          <t>Energy / AQ / water / agriculture / healthcare</t>
        </is>
      </c>
      <c r="H37" s="2" t="inlineStr">
        <is>
          <t>Industry collaboration route</t>
        </is>
      </c>
      <c r="I37" s="2" t="inlineStr">
        <is>
          <t>Contact now</t>
        </is>
      </c>
      <c r="J37" s="2" t="inlineStr">
        <is>
          <t>High</t>
        </is>
      </c>
      <c r="K37" s="2" t="inlineStr">
        <is>
          <t>No direct cash confirmed</t>
        </is>
      </c>
      <c r="L37" s="2" t="n">
        <v>4</v>
      </c>
      <c r="M37" s="2" t="n">
        <v>4</v>
      </c>
      <c r="N37" s="2" t="n">
        <v>4</v>
      </c>
      <c r="O37" s="2">
        <f>ROUND(L37*10+M37*6+N37*4,0)</f>
        <v/>
      </c>
      <c r="P37" s="2" t="inlineStr">
        <is>
          <t>Match faculty, scope, budget and IP before commitment.</t>
        </is>
      </c>
      <c r="Q37" s="2" t="inlineStr">
        <is>
          <t>Public inquiry mailbox</t>
        </is>
      </c>
      <c r="R37" s="2" t="inlineStr">
        <is>
          <t>researchconcierge@nus.edu.sg</t>
        </is>
      </c>
      <c r="S37" s="3" t="inlineStr">
        <is>
          <t>https://nus.edu.sg/research/odprt-home/research-concierge</t>
        </is>
      </c>
      <c r="T37" s="2" t="inlineStr">
        <is>
          <t>Not publicly confirmed; request current terms</t>
        </is>
      </c>
      <c r="U37" s="2" t="inlineStr">
        <is>
          <t>Ask routing to NERI/SERIS or smart-facility group for outcome validation.</t>
        </is>
      </c>
      <c r="V37" s="2" t="inlineStr">
        <is>
          <t>Official bridge between academia, government and industry.</t>
        </is>
      </c>
      <c r="W37" s="3" t="inlineStr">
        <is>
          <t>https://nus.edu.sg/research/odprt-home/research-concierge</t>
        </is>
      </c>
      <c r="X37" s="4" t="n">
        <v>46301</v>
      </c>
    </row>
    <row r="38" ht="78" customHeight="1">
      <c r="A38" s="2" t="inlineStr">
        <is>
          <t>CC-037</t>
        </is>
      </c>
      <c r="B38" s="2" t="inlineStr">
        <is>
          <t>Singapore</t>
        </is>
      </c>
      <c r="C38" s="2" t="n">
        <v>7</v>
      </c>
      <c r="D38" s="2" t="inlineStr">
        <is>
          <t>Singapore Green Building Council</t>
        </is>
      </c>
      <c r="E38" s="2" t="inlineStr">
        <is>
          <t>Industry consortium</t>
        </is>
      </c>
      <c r="F38" s="2" t="inlineStr">
        <is>
          <t>Buyer network / certification; no direct capital</t>
        </is>
      </c>
      <c r="G38" s="2" t="inlineStr">
        <is>
          <t>Buildings / hotels / hospitals / data centers</t>
        </is>
      </c>
      <c r="H38" s="2" t="inlineStr">
        <is>
          <t>Supplier membership route</t>
        </is>
      </c>
      <c r="I38" s="2" t="inlineStr">
        <is>
          <t>Contact now</t>
        </is>
      </c>
      <c r="J38" s="2" t="inlineStr">
        <is>
          <t>High</t>
        </is>
      </c>
      <c r="K38" s="2" t="inlineStr">
        <is>
          <t>No direct cash confirmed</t>
        </is>
      </c>
      <c r="L38" s="2" t="n">
        <v>4</v>
      </c>
      <c r="M38" s="2" t="n">
        <v>4</v>
      </c>
      <c r="N38" s="2" t="n">
        <v>4</v>
      </c>
      <c r="O38" s="2">
        <f>ROUND(L38*10+M38*6+N38*4,0)</f>
        <v/>
      </c>
      <c r="P38" s="2" t="inlineStr">
        <is>
          <t>Fees and product certification applicability must be checked.</t>
        </is>
      </c>
      <c r="Q38" s="2" t="inlineStr">
        <is>
          <t>Membership route live</t>
        </is>
      </c>
      <c r="R38" s="2" t="inlineStr">
        <is>
          <t>Membership team via contact page</t>
        </is>
      </c>
      <c r="S38" s="3" t="inlineStr">
        <is>
          <t>https://www.sgbc.sg/contact-us/</t>
        </is>
      </c>
      <c r="T38" s="2" t="inlineStr">
        <is>
          <t>Not publicly confirmed; request current terms</t>
        </is>
      </c>
      <c r="U38" s="2" t="inlineStr">
        <is>
          <t>Request pilot-owner/ESCO introductions and applicable monitoring-product pathways.</t>
        </is>
      </c>
      <c r="V38" s="2" t="inlineStr">
        <is>
          <t>Council administers industry certification and membership activities.</t>
        </is>
      </c>
      <c r="W38" s="3" t="inlineStr">
        <is>
          <t>https://www.sgbc.sg/membership/about-sgbc-membership/</t>
        </is>
      </c>
      <c r="X38" s="4" t="n">
        <v>46301</v>
      </c>
    </row>
    <row r="39" ht="78" customHeight="1">
      <c r="A39" s="2" t="inlineStr">
        <is>
          <t>CC-038</t>
        </is>
      </c>
      <c r="B39" s="2" t="inlineStr">
        <is>
          <t>Singapore</t>
        </is>
      </c>
      <c r="C39" s="2" t="n">
        <v>8</v>
      </c>
      <c r="D39" s="2" t="inlineStr">
        <is>
          <t>SGInnovate</t>
        </is>
      </c>
      <c r="E39" s="2" t="inlineStr">
        <is>
          <t>VC / ecosystem</t>
        </is>
      </c>
      <c r="F39" s="2" t="inlineStr">
        <is>
          <t>Deep-tech equity / corporate engagement</t>
        </is>
      </c>
      <c r="G39" s="2" t="inlineStr">
        <is>
          <t>AI / industrial / sustainability</t>
        </is>
      </c>
      <c r="H39" s="2" t="inlineStr">
        <is>
          <t>Early-stage deep-tech pathway</t>
        </is>
      </c>
      <c r="I39" s="2" t="inlineStr">
        <is>
          <t>Contact now</t>
        </is>
      </c>
      <c r="J39" s="2" t="inlineStr">
        <is>
          <t>Medium</t>
        </is>
      </c>
      <c r="K39" s="2" t="inlineStr">
        <is>
          <t>No direct cash confirmed</t>
        </is>
      </c>
      <c r="L39" s="2" t="n">
        <v>4</v>
      </c>
      <c r="M39" s="2" t="n">
        <v>3</v>
      </c>
      <c r="N39" s="2" t="n">
        <v>3</v>
      </c>
      <c r="O39" s="2">
        <f>ROUND(L39*10+M39*6+N39*4,0)</f>
        <v/>
      </c>
      <c r="P39" s="2" t="inlineStr">
        <is>
          <t>Research depth, Singapore nexus and IP defensibility; routine SaaS weak fit.</t>
        </is>
      </c>
      <c r="Q39" s="2" t="inlineStr">
        <is>
          <t>Official strategy and contact route</t>
        </is>
      </c>
      <c r="R39" s="2" t="inlineStr">
        <is>
          <t>Investment inquiry via official contact page</t>
        </is>
      </c>
      <c r="S39" s="3" t="inlineStr">
        <is>
          <t>https://www.sginnovate.com/contact-us</t>
        </is>
      </c>
      <c r="T39" s="2" t="inlineStr">
        <is>
          <t>Not publicly confirmed; request current terms</t>
        </is>
      </c>
      <c r="U39" s="2" t="inlineStr">
        <is>
          <t>Request fit-screen for proprietary anomaly/PdM models and Singapore validation partner.</t>
        </is>
      </c>
      <c r="V39" s="2" t="inlineStr">
        <is>
          <t>Strategic investor translating research into emerging technology.</t>
        </is>
      </c>
      <c r="W39" s="3" t="inlineStr">
        <is>
          <t>https://www.sginnovate.com/our-approach</t>
        </is>
      </c>
      <c r="X39" s="4" t="n">
        <v>46301</v>
      </c>
    </row>
    <row r="40" ht="78" customHeight="1">
      <c r="A40" s="2" t="inlineStr">
        <is>
          <t>CC-039</t>
        </is>
      </c>
      <c r="B40" s="2" t="inlineStr">
        <is>
          <t>Singapore</t>
        </is>
      </c>
      <c r="C40" s="2" t="n">
        <v>9</v>
      </c>
      <c r="D40" s="2" t="inlineStr">
        <is>
          <t>SEEDS / Startup SG Equity</t>
        </is>
      </c>
      <c r="E40" s="2" t="inlineStr">
        <is>
          <t>Government co-investment</t>
        </is>
      </c>
      <c r="F40" s="2" t="inlineStr">
        <is>
          <t>Equity co-investment; not grant</t>
        </is>
      </c>
      <c r="G40" s="2" t="inlineStr">
        <is>
          <t>Deep tech / industrial / sustainability</t>
        </is>
      </c>
      <c r="H40" s="2" t="inlineStr">
        <is>
          <t>Early-stage Singapore-based tech</t>
        </is>
      </c>
      <c r="I40" s="2" t="inlineStr">
        <is>
          <t>Conditional screen</t>
        </is>
      </c>
      <c r="J40" s="2" t="inlineStr">
        <is>
          <t>Low</t>
        </is>
      </c>
      <c r="K40" s="2" t="inlineStr">
        <is>
          <t>No direct cash confirmed</t>
        </is>
      </c>
      <c r="L40" s="2" t="n">
        <v>4</v>
      </c>
      <c r="M40" s="2" t="n">
        <v>2</v>
      </c>
      <c r="N40" s="2" t="n">
        <v>2</v>
      </c>
      <c r="O40" s="2">
        <f>ROUND(L40*10+M40*6+N40*4,0)</f>
        <v/>
      </c>
      <c r="P40" s="2" t="inlineStr">
        <is>
          <t>Singapore-based investable business and private co-investor; no Singapore entity established in supplied context.</t>
        </is>
      </c>
      <c r="Q40" s="2" t="inlineStr">
        <is>
          <t>Official scheme current; partner matching needed</t>
        </is>
      </c>
      <c r="R40" s="2" t="inlineStr">
        <is>
          <t>Approach listed co-investment partners via SEEDS</t>
        </is>
      </c>
      <c r="S40" s="3" t="inlineStr">
        <is>
          <t>https://www.seedscapital.sg/</t>
        </is>
      </c>
      <c r="T40" s="2" t="inlineStr">
        <is>
          <t>Not publicly confirmed; request current terms</t>
        </is>
      </c>
      <c r="U40" s="2" t="inlineStr">
        <is>
          <t>Ask Wavemaker/SEEDS partner about local-entity and co-investment fit before applying.</t>
        </is>
      </c>
      <c r="V40" s="2" t="inlineStr">
        <is>
          <t>Government co-investment alongside private sector partners.</t>
        </is>
      </c>
      <c r="W40" s="3" t="inlineStr">
        <is>
          <t>https://www.seedscapital.sg/about-us/our-co-investment-model/</t>
        </is>
      </c>
      <c r="X40" s="4" t="n">
        <v>46301</v>
      </c>
    </row>
    <row r="41" ht="78" customHeight="1">
      <c r="A41" s="2" t="inlineStr">
        <is>
          <t>CC-040</t>
        </is>
      </c>
      <c r="B41" s="2" t="inlineStr">
        <is>
          <t>Singapore</t>
        </is>
      </c>
      <c r="C41" s="2" t="n">
        <v>10</v>
      </c>
      <c r="D41" s="2" t="inlineStr">
        <is>
          <t>Startup SG Tech</t>
        </is>
      </c>
      <c r="E41" s="2" t="inlineStr">
        <is>
          <t>Government grant</t>
        </is>
      </c>
      <c r="F41" s="2" t="inlineStr">
        <is>
          <t>POC / POV proprietary-technology support</t>
        </is>
      </c>
      <c r="G41" s="2" t="inlineStr">
        <is>
          <t>AI / IoT / industrial / energy</t>
        </is>
      </c>
      <c r="H41" s="2" t="inlineStr">
        <is>
          <t>Early-stage R&amp;D</t>
        </is>
      </c>
      <c r="I41" s="2" t="inlineStr">
        <is>
          <t>Eligibility gate first</t>
        </is>
      </c>
      <c r="J41" s="2" t="inlineStr">
        <is>
          <t>Very low</t>
        </is>
      </c>
      <c r="K41" s="2" t="inlineStr">
        <is>
          <t>Very low until gates cleared</t>
        </is>
      </c>
      <c r="L41" s="2" t="n">
        <v>4</v>
      </c>
      <c r="M41" s="2" t="n">
        <v>1</v>
      </c>
      <c r="N41" s="2" t="n">
        <v>2</v>
      </c>
      <c r="O41" s="2">
        <f>ROUND(L41*10+M41*6+N41*4,0)</f>
        <v/>
      </c>
      <c r="P41" s="2" t="inlineStr">
        <is>
          <t>At least 30% local shareholding per official EDB overview; current detailed terms and Singapore incorporation to confirm.</t>
        </is>
      </c>
      <c r="Q41" s="2" t="inlineStr">
        <is>
          <t>Programme listed; intake unverified</t>
        </is>
      </c>
      <c r="R41" s="2" t="inlineStr">
        <is>
          <t>EnterpriseSG / Startup SG programme inquiry</t>
        </is>
      </c>
      <c r="S41" s="3" t="inlineStr">
        <is>
          <t>https://www.startupsg.gov.sg/programmes/</t>
        </is>
      </c>
      <c r="T41" s="2" t="inlineStr">
        <is>
          <t>Not publicly confirmed; request current terms</t>
        </is>
      </c>
      <c r="U41" s="2" t="inlineStr">
        <is>
          <t>Request current eligibility guidance; no application until local equity/IP structure qualifies.</t>
        </is>
      </c>
      <c r="V41" s="2" t="inlineStr">
        <is>
          <t>Official EDB overview states local shareholding requirement; overview is older.</t>
        </is>
      </c>
      <c r="W41" s="3" t="inlineStr">
        <is>
          <t>https://www.edb.gov.sg/en/business-insights/insights/partners-programmes-to-accelerate-your-startup-s-trajectory-in-singapore.html</t>
        </is>
      </c>
      <c r="X41" s="4" t="n">
        <v>46301</v>
      </c>
    </row>
    <row r="42" ht="78" customHeight="1">
      <c r="A42" s="2" t="inlineStr">
        <is>
          <t>CC-041</t>
        </is>
      </c>
      <c r="B42" s="2" t="inlineStr">
        <is>
          <t>Singapore</t>
        </is>
      </c>
      <c r="C42" s="2" t="n">
        <v>11</v>
      </c>
      <c r="D42" s="2" t="inlineStr">
        <is>
          <t>Navis Capital Partners</t>
        </is>
      </c>
      <c r="E42" s="2" t="inlineStr">
        <is>
          <t>PE</t>
        </is>
      </c>
      <c r="F42" s="2" t="inlineStr">
        <is>
          <t>Control equity / portfolio partnership</t>
        </is>
      </c>
      <c r="G42" s="2" t="inlineStr">
        <is>
          <t>Industrial / services / technology</t>
        </is>
      </c>
      <c r="H42" s="2" t="inlineStr">
        <is>
          <t>Current direct capital fit very low (analyst view)</t>
        </is>
      </c>
      <c r="I42" s="2" t="inlineStr">
        <is>
          <t>Later / portfolio route</t>
        </is>
      </c>
      <c r="J42" s="2" t="inlineStr">
        <is>
          <t>Very low</t>
        </is>
      </c>
      <c r="K42" s="2" t="inlineStr">
        <is>
          <t>Very low / defer</t>
        </is>
      </c>
      <c r="L42" s="2" t="n">
        <v>3</v>
      </c>
      <c r="M42" s="2" t="n">
        <v>1</v>
      </c>
      <c r="N42" s="2" t="n">
        <v>1</v>
      </c>
      <c r="O42" s="2">
        <f>ROUND(L42*10+M42*6+N42*4,0)</f>
        <v/>
      </c>
      <c r="P42" s="2" t="inlineStr">
        <is>
          <t>Control PE strategy; startup seed offer not verified.</t>
        </is>
      </c>
      <c r="Q42" s="2" t="inlineStr">
        <is>
          <t>Official PE strategy and contact page</t>
        </is>
      </c>
      <c r="R42" s="2" t="inlineStr">
        <is>
          <t>Singapore office through official contact page</t>
        </is>
      </c>
      <c r="S42" s="3" t="inlineStr">
        <is>
          <t>https://www.naviscapital.com/contact-us/</t>
        </is>
      </c>
      <c r="T42" s="2" t="inlineStr">
        <is>
          <t>Not publicly confirmed; request current terms</t>
        </is>
      </c>
      <c r="U42" s="2" t="inlineStr">
        <is>
          <t>Request industrial portfolio technology-pilot introduction after case-study proof.</t>
        </is>
      </c>
      <c r="V42" s="2" t="inlineStr">
        <is>
          <t>Official strategy describes controlling PE investments.</t>
        </is>
      </c>
      <c r="W42" s="3" t="inlineStr">
        <is>
          <t>https://www.naviscapital.com/private-equity/the-navis-approach/</t>
        </is>
      </c>
      <c r="X42" s="4" t="n">
        <v>46301</v>
      </c>
    </row>
    <row r="43" ht="78" customHeight="1">
      <c r="A43" s="2" t="inlineStr">
        <is>
          <t>CC-042</t>
        </is>
      </c>
      <c r="B43" s="2" t="inlineStr">
        <is>
          <t>India</t>
        </is>
      </c>
      <c r="C43" s="2" t="n">
        <v>1</v>
      </c>
      <c r="D43" s="2" t="inlineStr">
        <is>
          <t>IIT Madras Research Park Energy &amp; Sustainability</t>
        </is>
      </c>
      <c r="E43" s="2" t="inlineStr">
        <is>
          <t>Academia / ecosystem</t>
        </is>
      </c>
      <c r="F43" s="2" t="inlineStr">
        <is>
          <t>Validation / industry co-development</t>
        </is>
      </c>
      <c r="G43" s="2" t="inlineStr">
        <is>
          <t>Energy / factories / buildings</t>
        </is>
      </c>
      <c r="H43" s="2" t="inlineStr">
        <is>
          <t>Industry collaboration route</t>
        </is>
      </c>
      <c r="I43" s="2" t="inlineStr">
        <is>
          <t>Contact now</t>
        </is>
      </c>
      <c r="J43" s="2" t="inlineStr">
        <is>
          <t>High</t>
        </is>
      </c>
      <c r="K43" s="2" t="inlineStr">
        <is>
          <t>No direct cash confirmed</t>
        </is>
      </c>
      <c r="L43" s="2" t="n">
        <v>5</v>
      </c>
      <c r="M43" s="2" t="n">
        <v>4</v>
      </c>
      <c r="N43" s="2" t="n">
        <v>4</v>
      </c>
      <c r="O43" s="2">
        <f>ROUND(L43*10+M43*6+N43*4,0)</f>
        <v/>
      </c>
      <c r="P43" s="2" t="inlineStr">
        <is>
          <t>Project scope, lab costs and IP; no grant guarantee.</t>
        </is>
      </c>
      <c r="Q43" s="2" t="inlineStr">
        <is>
          <t>Dedicated energy mailbox published</t>
        </is>
      </c>
      <c r="R43" s="2" t="inlineStr">
        <is>
          <t>energy@respark.iitm.ac.in</t>
        </is>
      </c>
      <c r="S43" s="3" t="inlineStr">
        <is>
          <t>https://respark.iitm.ac.in/energy-sustainability</t>
        </is>
      </c>
      <c r="T43" s="2" t="inlineStr">
        <is>
          <t>Not publicly confirmed; request current terms</t>
        </is>
      </c>
      <c r="U43" s="2" t="inlineStr">
        <is>
          <t>Request CK/ESG measurement-validation partner and industrial energy pilot.</t>
        </is>
      </c>
      <c r="V43" s="2" t="inlineStr">
        <is>
          <t>Official energy/sustainability programme with direct contact.</t>
        </is>
      </c>
      <c r="W43" s="3" t="inlineStr">
        <is>
          <t>https://respark.iitm.ac.in/energy-sustainability</t>
        </is>
      </c>
      <c r="X43" s="4" t="n">
        <v>46301</v>
      </c>
    </row>
    <row r="44" ht="78" customHeight="1">
      <c r="A44" s="2" t="inlineStr">
        <is>
          <t>CC-043</t>
        </is>
      </c>
      <c r="B44" s="2" t="inlineStr">
        <is>
          <t>India</t>
        </is>
      </c>
      <c r="C44" s="2" t="n">
        <v>2</v>
      </c>
      <c r="D44" s="2" t="inlineStr">
        <is>
          <t>IIT Madras Incubation Cell</t>
        </is>
      </c>
      <c r="E44" s="2" t="inlineStr">
        <is>
          <t>Academia / incubator</t>
        </is>
      </c>
      <c r="F44" s="2" t="inlineStr">
        <is>
          <t>Incubation / investor introductions</t>
        </is>
      </c>
      <c r="G44" s="2" t="inlineStr">
        <is>
          <t>Deep tech / climate / health / industrial</t>
        </is>
      </c>
      <c r="H44" s="2" t="inlineStr">
        <is>
          <t>Startup incubation; acceptance discretionary</t>
        </is>
      </c>
      <c r="I44" s="2" t="inlineStr">
        <is>
          <t>Contact now</t>
        </is>
      </c>
      <c r="J44" s="2" t="inlineStr">
        <is>
          <t>High</t>
        </is>
      </c>
      <c r="K44" s="2" t="inlineStr">
        <is>
          <t>No direct cash confirmed</t>
        </is>
      </c>
      <c r="L44" s="2" t="n">
        <v>5</v>
      </c>
      <c r="M44" s="2" t="n">
        <v>4</v>
      </c>
      <c r="N44" s="2" t="n">
        <v>4</v>
      </c>
      <c r="O44" s="2">
        <f>ROUND(L44*10+M44*6+N44*4,0)</f>
        <v/>
      </c>
      <c r="P44" s="2" t="inlineStr">
        <is>
          <t>Current intake and entity/IP rules; specific Oct5 2026 grant call has passed per official social post, not assumed open.</t>
        </is>
      </c>
      <c r="Q44" s="2" t="inlineStr">
        <is>
          <t>General incubation inquiry available; programme-specific deadlines to check</t>
        </is>
      </c>
      <c r="R44" s="2" t="inlineStr">
        <is>
          <t>office@incubation.iitm.ac.in</t>
        </is>
      </c>
      <c r="S44" s="3" t="inlineStr">
        <is>
          <t>https://respark.iitm.ac.in/startups</t>
        </is>
      </c>
      <c r="T44" s="2" t="inlineStr">
        <is>
          <t>Not publicly confirmed; request current terms</t>
        </is>
      </c>
      <c r="U44" s="2" t="inlineStr">
        <is>
          <t>Ask admission fit for IIL/US licensed-IP structure and available seed routes.</t>
        </is>
      </c>
      <c r="V44" s="2" t="inlineStr">
        <is>
          <t>Official institute describes deep-tech hub; Research Park gives mailbox.</t>
        </is>
      </c>
      <c r="W44" s="3" t="inlineStr">
        <is>
          <t>https://www.iitm.ac.in/research-park/incubation-cell</t>
        </is>
      </c>
      <c r="X44" s="4" t="n">
        <v>46301</v>
      </c>
    </row>
    <row r="45" ht="78" customHeight="1">
      <c r="A45" s="2" t="inlineStr">
        <is>
          <t>CC-044</t>
        </is>
      </c>
      <c r="B45" s="2" t="inlineStr">
        <is>
          <t>India</t>
        </is>
      </c>
      <c r="C45" s="2" t="n">
        <v>3</v>
      </c>
      <c r="D45" s="2" t="inlineStr">
        <is>
          <t>MeitY–nasscom CoE IoT &amp; AI</t>
        </is>
      </c>
      <c r="E45" s="2" t="inlineStr">
        <is>
          <t>Industry / government ecosystem</t>
        </is>
      </c>
      <c r="F45" s="2" t="inlineStr">
        <is>
          <t>Incubation / industry problem matching</t>
        </is>
      </c>
      <c r="G45" s="2" t="inlineStr">
        <is>
          <t>Manufacturing / health / AIoT / data centers</t>
        </is>
      </c>
      <c r="H45" s="2" t="inlineStr">
        <is>
          <t>Indian deep-tech startup pathway</t>
        </is>
      </c>
      <c r="I45" s="2" t="inlineStr">
        <is>
          <t>Contact now</t>
        </is>
      </c>
      <c r="J45" s="2" t="inlineStr">
        <is>
          <t>High</t>
        </is>
      </c>
      <c r="K45" s="2" t="inlineStr">
        <is>
          <t>No direct cash confirmed</t>
        </is>
      </c>
      <c r="L45" s="2" t="n">
        <v>5</v>
      </c>
      <c r="M45" s="2" t="n">
        <v>4</v>
      </c>
      <c r="N45" s="2" t="n">
        <v>4</v>
      </c>
      <c r="O45" s="2">
        <f>ROUND(L45*10+M45*6+N45*4,0)</f>
        <v/>
      </c>
      <c r="P45" s="2" t="inlineStr">
        <is>
          <t>Indian entity and programme rules; equity/fees/current intake confirm.</t>
        </is>
      </c>
      <c r="Q45" s="2" t="inlineStr">
        <is>
          <t>Official government incubator contact listed</t>
        </is>
      </c>
      <c r="R45" s="2" t="inlineStr">
        <is>
          <t>coe-iot@nasscom.in</t>
        </is>
      </c>
      <c r="S45" s="3" t="inlineStr">
        <is>
          <t>https://startupharyana.gov.in/front/incubator/dbeab2eb-1777-4119-b5b1-5affdef89a10</t>
        </is>
      </c>
      <c r="T45" s="2" t="inlineStr">
        <is>
          <t>Not publicly confirmed; request current terms</t>
        </is>
      </c>
      <c r="U45" s="2" t="inlineStr">
        <is>
          <t>Request corporate pilot matchmaking for industrial anomaly/PdM and infrastructure ESG.</t>
        </is>
      </c>
      <c r="V45" s="2" t="inlineStr">
        <is>
          <t>Government portal lists CoE mission and public email.</t>
        </is>
      </c>
      <c r="W45" s="3" t="inlineStr">
        <is>
          <t>https://startupharyana.gov.in/front/incubator/dbeab2eb-1777-4119-b5b1-5affdef89a10</t>
        </is>
      </c>
      <c r="X45" s="4" t="n">
        <v>46301</v>
      </c>
    </row>
    <row r="46" ht="78" customHeight="1">
      <c r="A46" s="2" t="inlineStr">
        <is>
          <t>CC-045</t>
        </is>
      </c>
      <c r="B46" s="2" t="inlineStr">
        <is>
          <t>India</t>
        </is>
      </c>
      <c r="C46" s="2" t="n">
        <v>4</v>
      </c>
      <c r="D46" s="2" t="inlineStr">
        <is>
          <t>CII Indian Green Building Council</t>
        </is>
      </c>
      <c r="E46" s="2" t="inlineStr">
        <is>
          <t>Industry consortium</t>
        </is>
      </c>
      <c r="F46" s="2" t="inlineStr">
        <is>
          <t>Owner network / certification; no seed capital</t>
        </is>
      </c>
      <c r="G46" s="2" t="inlineStr">
        <is>
          <t>Hotels / hospitals / residential / data centers</t>
        </is>
      </c>
      <c r="H46" s="2" t="inlineStr">
        <is>
          <t>Supplier ecosystem route</t>
        </is>
      </c>
      <c r="I46" s="2" t="inlineStr">
        <is>
          <t>Contact now</t>
        </is>
      </c>
      <c r="J46" s="2" t="inlineStr">
        <is>
          <t>High</t>
        </is>
      </c>
      <c r="K46" s="2" t="inlineStr">
        <is>
          <t>No direct cash confirmed</t>
        </is>
      </c>
      <c r="L46" s="2" t="n">
        <v>5</v>
      </c>
      <c r="M46" s="2" t="n">
        <v>4</v>
      </c>
      <c r="N46" s="2" t="n">
        <v>4</v>
      </c>
      <c r="O46" s="2">
        <f>ROUND(L46*10+M46*6+N46*4,0)</f>
        <v/>
      </c>
      <c r="P46" s="2" t="inlineStr">
        <is>
          <t>Membership fees; solutions must meet actual certification scope.</t>
        </is>
      </c>
      <c r="Q46" s="2" t="inlineStr">
        <is>
          <t>Official membership/contact</t>
        </is>
      </c>
      <c r="R46" s="2" t="inlineStr">
        <is>
          <t>igbc@cii.in</t>
        </is>
      </c>
      <c r="S46" s="3" t="inlineStr">
        <is>
          <t>https://www.igbc.in/contact-us</t>
        </is>
      </c>
      <c r="T46" s="2" t="inlineStr">
        <is>
          <t>Not publicly confirmed; request current terms</t>
        </is>
      </c>
      <c r="U46" s="2" t="inlineStr">
        <is>
          <t>Ask Tamil Nadu pilot-owner and consultant introductions for energy/AQ/comfort measurements.</t>
        </is>
      </c>
      <c r="V46" s="2" t="inlineStr">
        <is>
          <t>Official organizational membership and contact published.</t>
        </is>
      </c>
      <c r="W46" s="3" t="inlineStr">
        <is>
          <t>https://www.igbc.in/organisational-membership</t>
        </is>
      </c>
      <c r="X46" s="4" t="n">
        <v>46301</v>
      </c>
    </row>
    <row r="47" ht="78" customHeight="1">
      <c r="A47" s="2" t="inlineStr">
        <is>
          <t>CC-046</t>
        </is>
      </c>
      <c r="B47" s="2" t="inlineStr">
        <is>
          <t>India</t>
        </is>
      </c>
      <c r="C47" s="2" t="n">
        <v>5</v>
      </c>
      <c r="D47" s="2" t="inlineStr">
        <is>
          <t>Transition VC</t>
        </is>
      </c>
      <c r="E47" s="2" t="inlineStr">
        <is>
          <t>VC</t>
        </is>
      </c>
      <c r="F47" s="2" t="inlineStr">
        <is>
          <t>Equity</t>
        </is>
      </c>
      <c r="G47" s="2" t="inlineStr">
        <is>
          <t>Energy transition / industrial / climate</t>
        </is>
      </c>
      <c r="H47" s="2" t="inlineStr">
        <is>
          <t>Pre-seed to Series A stated</t>
        </is>
      </c>
      <c r="I47" s="2" t="inlineStr">
        <is>
          <t>Contact now</t>
        </is>
      </c>
      <c r="J47" s="2" t="inlineStr">
        <is>
          <t>Medium</t>
        </is>
      </c>
      <c r="K47" s="2" t="inlineStr">
        <is>
          <t>Low to medium / competitive</t>
        </is>
      </c>
      <c r="L47" s="2" t="n">
        <v>5</v>
      </c>
      <c r="M47" s="2" t="n">
        <v>3</v>
      </c>
      <c r="N47" s="2" t="n">
        <v>3</v>
      </c>
      <c r="O47" s="2">
        <f>ROUND(L47*10+M47*6+N47*4,0)</f>
        <v/>
      </c>
      <c r="P47" s="2" t="inlineStr">
        <is>
          <t>Indian deployment case; defensible energy impact and investable entity/IP.</t>
        </is>
      </c>
      <c r="Q47" s="2" t="inlineStr">
        <is>
          <t>Official mandate and contact route</t>
        </is>
      </c>
      <c r="R47" s="2" t="inlineStr">
        <is>
          <t>Investment team via contact form</t>
        </is>
      </c>
      <c r="S47" s="3" t="inlineStr">
        <is>
          <t>https://www.transitionventurecapital.com/contact</t>
        </is>
      </c>
      <c r="T47" s="2" t="inlineStr">
        <is>
          <t>Not publicly confirmed; request current terms</t>
        </is>
      </c>
      <c r="U47" s="2" t="inlineStr">
        <is>
          <t>Pitch one industrial/building conservation wedge and first paid-pilot milestones.</t>
        </is>
      </c>
      <c r="V47" s="2" t="inlineStr">
        <is>
          <t>Official energy-transition fund states pre-seed to Series A.</t>
        </is>
      </c>
      <c r="W47" s="3" t="inlineStr">
        <is>
          <t>https://www.transitionventurecapital.com/</t>
        </is>
      </c>
      <c r="X47" s="4" t="n">
        <v>46301</v>
      </c>
    </row>
    <row r="48" ht="78" customHeight="1">
      <c r="A48" s="2" t="inlineStr">
        <is>
          <t>CC-047</t>
        </is>
      </c>
      <c r="B48" s="2" t="inlineStr">
        <is>
          <t>India</t>
        </is>
      </c>
      <c r="C48" s="2" t="n">
        <v>6</v>
      </c>
      <c r="D48" s="2" t="inlineStr">
        <is>
          <t>BEE Energy Efficiency Financing Platform</t>
        </is>
      </c>
      <c r="E48" s="2" t="inlineStr">
        <is>
          <t>Government / industry network</t>
        </is>
      </c>
      <c r="F48" s="2" t="inlineStr">
        <is>
          <t>Customer project finance facilitation</t>
        </is>
      </c>
      <c r="G48" s="2" t="inlineStr">
        <is>
          <t>Factories / buildings / MSMEs</t>
        </is>
      </c>
      <c r="H48" s="2" t="inlineStr">
        <is>
          <t>Technology supplier/ESCO route</t>
        </is>
      </c>
      <c r="I48" s="2" t="inlineStr">
        <is>
          <t>Contact now</t>
        </is>
      </c>
      <c r="J48" s="2" t="inlineStr">
        <is>
          <t>Medium</t>
        </is>
      </c>
      <c r="K48" s="2" t="inlineStr">
        <is>
          <t>No direct cash confirmed</t>
        </is>
      </c>
      <c r="L48" s="2" t="n">
        <v>5</v>
      </c>
      <c r="M48" s="2" t="n">
        <v>3</v>
      </c>
      <c r="N48" s="2" t="n">
        <v>3</v>
      </c>
      <c r="O48" s="2">
        <f>ROUND(L48*10+M48*6+N48*4,0)</f>
        <v/>
      </c>
      <c r="P48" s="2" t="inlineStr">
        <is>
          <t>Not a grant to Inspironics; qualifying customer project and finance appraisal needed.</t>
        </is>
      </c>
      <c r="Q48" s="2" t="inlineStr">
        <is>
          <t>Official finance programme and officer contact</t>
        </is>
      </c>
      <c r="R48" s="2" t="inlineStr">
        <is>
          <t>Sunil Kumar Verma | sk.verma@beeindia.gov.in | 011-26766700</t>
        </is>
      </c>
      <c r="S48" s="3" t="inlineStr">
        <is>
          <t>https://www.beeindia.gov.in/show_content.php?lang=1&amp;level=2&amp;lid=419&amp;ls_id=344</t>
        </is>
      </c>
      <c r="T48" s="2" t="inlineStr">
        <is>
          <t>Not publicly confirmed; request current terms</t>
        </is>
      </c>
      <c r="U48" s="2" t="inlineStr">
        <is>
          <t>Ask technology-provider participation and ESCO/MSME pilot financing introductions.</t>
        </is>
      </c>
      <c r="V48" s="2" t="inlineStr">
        <is>
          <t>Official EEFP brings financiers and project developers together and references IoT MSME collaboration.</t>
        </is>
      </c>
      <c r="W48" s="3" t="inlineStr">
        <is>
          <t>https://www.beeindia.gov.in/show_content.php?lang=1&amp;level=2&amp;lid=419&amp;ls_id=344</t>
        </is>
      </c>
      <c r="X48" s="4" t="n">
        <v>46301</v>
      </c>
    </row>
    <row r="49" ht="78" customHeight="1">
      <c r="A49" s="2" t="inlineStr">
        <is>
          <t>CC-048</t>
        </is>
      </c>
      <c r="B49" s="2" t="inlineStr">
        <is>
          <t>India</t>
        </is>
      </c>
      <c r="C49" s="2" t="n">
        <v>7</v>
      </c>
      <c r="D49" s="2" t="inlineStr">
        <is>
          <t>Speciale Invest</t>
        </is>
      </c>
      <c r="E49" s="2" t="inlineStr">
        <is>
          <t>VC</t>
        </is>
      </c>
      <c r="F49" s="2" t="inlineStr">
        <is>
          <t>Equity</t>
        </is>
      </c>
      <c r="G49" s="2" t="inlineStr">
        <is>
          <t>Deep-tech hardware / software / AI</t>
        </is>
      </c>
      <c r="H49" s="2" t="inlineStr">
        <is>
          <t>Deep-tech early-stage candidate; current stage screen needed</t>
        </is>
      </c>
      <c r="I49" s="2" t="inlineStr">
        <is>
          <t>Contact now</t>
        </is>
      </c>
      <c r="J49" s="2" t="inlineStr">
        <is>
          <t>Medium</t>
        </is>
      </c>
      <c r="K49" s="2" t="inlineStr">
        <is>
          <t>Low to medium / competitive</t>
        </is>
      </c>
      <c r="L49" s="2" t="n">
        <v>4</v>
      </c>
      <c r="M49" s="2" t="n">
        <v>3</v>
      </c>
      <c r="N49" s="2" t="n">
        <v>3</v>
      </c>
      <c r="O49" s="2">
        <f>ROUND(L49*10+M49*6+N49*4,0)</f>
        <v/>
      </c>
      <c r="P49" s="2" t="inlineStr">
        <is>
          <t>Proprietary engineering innovation required; generic multi-product SaaS weak fit.</t>
        </is>
      </c>
      <c r="Q49" s="2" t="inlineStr">
        <is>
          <t>Official contact route</t>
        </is>
      </c>
      <c r="R49" s="2" t="inlineStr">
        <is>
          <t>info@specialeinvest.com</t>
        </is>
      </c>
      <c r="S49" s="3" t="inlineStr">
        <is>
          <t>https://www.specialeinvest.com/contact</t>
        </is>
      </c>
      <c r="T49" s="2" t="inlineStr">
        <is>
          <t>Not publicly confirmed; request current terms</t>
        </is>
      </c>
      <c r="U49" s="2" t="inlineStr">
        <is>
          <t>Request screening of core sensor intelligence and PdM model IP with technical demo.</t>
        </is>
      </c>
      <c r="V49" s="2" t="inlineStr">
        <is>
          <t>Official mandate covers science- and engineering-first hardware/software.</t>
        </is>
      </c>
      <c r="W49" s="3" t="inlineStr">
        <is>
          <t>https://www.specialeinvest.com/about</t>
        </is>
      </c>
      <c r="X49" s="4" t="n">
        <v>46301</v>
      </c>
    </row>
    <row r="50" ht="78" customHeight="1">
      <c r="A50" s="2" t="inlineStr">
        <is>
          <t>CC-049</t>
        </is>
      </c>
      <c r="B50" s="2" t="inlineStr">
        <is>
          <t>India</t>
        </is>
      </c>
      <c r="C50" s="2" t="n">
        <v>8</v>
      </c>
      <c r="D50" s="2" t="inlineStr">
        <is>
          <t>Anicut Seed Fund</t>
        </is>
      </c>
      <c r="E50" s="2" t="inlineStr">
        <is>
          <t>VC / angel platform</t>
        </is>
      </c>
      <c r="F50" s="2" t="inlineStr">
        <is>
          <t>Seed equity</t>
        </is>
      </c>
      <c r="G50" s="2" t="inlineStr">
        <is>
          <t>B2B / SaaS / industrial</t>
        </is>
      </c>
      <c r="H50" s="2" t="inlineStr">
        <is>
          <t>Seed to pre-Series A stated</t>
        </is>
      </c>
      <c r="I50" s="2" t="inlineStr">
        <is>
          <t>Contact now</t>
        </is>
      </c>
      <c r="J50" s="2" t="inlineStr">
        <is>
          <t>Medium</t>
        </is>
      </c>
      <c r="K50" s="2" t="inlineStr">
        <is>
          <t>Low to medium / competitive</t>
        </is>
      </c>
      <c r="L50" s="2" t="n">
        <v>4</v>
      </c>
      <c r="M50" s="2" t="n">
        <v>3</v>
      </c>
      <c r="N50" s="2" t="n">
        <v>3</v>
      </c>
      <c r="O50" s="2">
        <f>ROUND(L50*10+M50*6+N50*4,0)</f>
        <v/>
      </c>
      <c r="P50" s="2" t="inlineStr">
        <is>
          <t>Seed mandate not proof of pre-revenue acceptance; unit economics and India entity/IP clarity.</t>
        </is>
      </c>
      <c r="Q50" s="2" t="inlineStr">
        <is>
          <t>Official seed strategy/contact</t>
        </is>
      </c>
      <c r="R50" s="2" t="inlineStr">
        <is>
          <t>reachus@anicutcapital.com</t>
        </is>
      </c>
      <c r="S50" s="3" t="inlineStr">
        <is>
          <t>https://www.anicutcapital.com/contact/</t>
        </is>
      </c>
      <c r="T50" s="2" t="inlineStr">
        <is>
          <t>Not publicly confirmed; request current terms</t>
        </is>
      </c>
      <c r="U50" s="2" t="inlineStr">
        <is>
          <t>Ask pre-revenue stage-fit for a tightly scoped commercial launch round.</t>
        </is>
      </c>
      <c r="V50" s="2" t="inlineStr">
        <is>
          <t>Official seed fund describes stage and investment pillars.</t>
        </is>
      </c>
      <c r="W50" s="3" t="inlineStr">
        <is>
          <t>https://www.anicutcapital.com/seed/</t>
        </is>
      </c>
      <c r="X50" s="4" t="n">
        <v>46301</v>
      </c>
    </row>
    <row r="51" ht="78" customHeight="1">
      <c r="A51" s="2" t="inlineStr">
        <is>
          <t>CC-050</t>
        </is>
      </c>
      <c r="B51" s="2" t="inlineStr">
        <is>
          <t>India</t>
        </is>
      </c>
      <c r="C51" s="2" t="n">
        <v>9</v>
      </c>
      <c r="D51" s="2" t="inlineStr">
        <is>
          <t>StartupTN TANSEED</t>
        </is>
      </c>
      <c r="E51" s="2" t="inlineStr">
        <is>
          <t>State seed support</t>
        </is>
      </c>
      <c r="F51" s="2" t="inlineStr">
        <is>
          <t>Equity-linked support; current terms needed</t>
        </is>
      </c>
      <c r="G51" s="2" t="inlineStr">
        <is>
          <t>Climate / rural / agriculture / technology</t>
        </is>
      </c>
      <c r="H51" s="2" t="inlineStr">
        <is>
          <t>Early-stage programme</t>
        </is>
      </c>
      <c r="I51" s="2" t="inlineStr">
        <is>
          <t>Conditional screen</t>
        </is>
      </c>
      <c r="J51" s="2" t="inlineStr">
        <is>
          <t>Low</t>
        </is>
      </c>
      <c r="K51" s="2" t="inlineStr">
        <is>
          <t>Very low until gates cleared</t>
        </is>
      </c>
      <c r="L51" s="2" t="n">
        <v>4</v>
      </c>
      <c r="M51" s="2" t="n">
        <v>2</v>
      </c>
      <c r="N51" s="2" t="n">
        <v>2</v>
      </c>
      <c r="O51" s="2">
        <f>ROUND(L51*10+M51*6+N51*4,0)</f>
        <v/>
      </c>
      <c r="P51" s="2" t="inlineStr">
        <is>
          <t>TN registration/operations, StartupTN/DPIIT and ownership rules need current confirmation; foreign founder and IIL entity to screen.</t>
        </is>
      </c>
      <c r="Q51" s="2" t="inlineStr">
        <is>
          <t>Previous rounds evidenced; current call unverified</t>
        </is>
      </c>
      <c r="R51" s="2" t="inlineStr">
        <is>
          <t>tanseed@startuptn.in</t>
        </is>
      </c>
      <c r="S51" s="3" t="inlineStr">
        <is>
          <t>https://startuptn.in/</t>
        </is>
      </c>
      <c r="T51" s="2" t="inlineStr">
        <is>
          <t>Historic overview up to ₹15 lakh priority sectors / ₹10 lakh others; current offer unverified.</t>
        </is>
      </c>
      <c r="U51" s="2" t="inlineStr">
        <is>
          <t>Ask eligibility of current IIL structure and next round, including equity terms.</t>
        </is>
      </c>
      <c r="V51" s="2" t="inlineStr">
        <is>
          <t>Government overview calls TANSEED equity-linked; do not assume non-dilutive.</t>
        </is>
      </c>
      <c r="W51" s="3" t="inlineStr">
        <is>
          <t>https://www.startupindia.gov.in/srf/portal/SRF_2022_Result_page/Tamil_Nadu.pdf</t>
        </is>
      </c>
      <c r="X51" s="4" t="n">
        <v>46301</v>
      </c>
    </row>
    <row r="52" ht="78" customHeight="1">
      <c r="A52" s="2" t="inlineStr">
        <is>
          <t>CC-051</t>
        </is>
      </c>
      <c r="B52" s="2" t="inlineStr">
        <is>
          <t>India</t>
        </is>
      </c>
      <c r="C52" s="2" t="n">
        <v>10</v>
      </c>
      <c r="D52" s="2" t="inlineStr">
        <is>
          <t>Startup India Seed Fund Scheme (SISFS)</t>
        </is>
      </c>
      <c r="E52" s="2" t="inlineStr">
        <is>
          <t>Government seed fund</t>
        </is>
      </c>
      <c r="F52" s="2" t="inlineStr">
        <is>
          <t>POC grant / debt-convertible support</t>
        </is>
      </c>
      <c r="G52" s="2" t="inlineStr">
        <is>
          <t>Energy / water / agriculture / healthcare</t>
        </is>
      </c>
      <c r="H52" s="2" t="inlineStr">
        <is>
          <t>DPIIT startup &lt;=2 years at application</t>
        </is>
      </c>
      <c r="I52" s="2" t="inlineStr">
        <is>
          <t>Eligibility gate first</t>
        </is>
      </c>
      <c r="J52" s="2" t="inlineStr">
        <is>
          <t>Very low</t>
        </is>
      </c>
      <c r="K52" s="2" t="inlineStr">
        <is>
          <t>Very low until gates cleared</t>
        </is>
      </c>
      <c r="L52" s="2" t="n">
        <v>4</v>
      </c>
      <c r="M52" s="2" t="n">
        <v>1</v>
      </c>
      <c r="N52" s="2" t="n">
        <v>2</v>
      </c>
      <c r="O52" s="2">
        <f>ROUND(L52*10+M52*6+N52*4,0)</f>
        <v/>
      </c>
      <c r="P52" s="2" t="inlineStr">
        <is>
          <t>At least 51% Indian-promoter shareholding; US parent ineligible. CXPL 75% FDI likely fails; IIL age/ownership unverified.</t>
        </is>
      </c>
      <c r="Q52" s="2" t="inlineStr">
        <is>
          <t>Portal/guidelines available; incubator allocation unconfirmed</t>
        </is>
      </c>
      <c r="R52" s="2" t="inlineStr">
        <is>
          <t>Application through official SISFS portal / selected incubators</t>
        </is>
      </c>
      <c r="S52" s="3" t="inlineStr">
        <is>
          <t>https://seedfund.startupindia.gov.in/faq</t>
        </is>
      </c>
      <c r="T52" s="2" t="inlineStr">
        <is>
          <t>Up to ₹20 lakh grant; up to ₹50 lakh debt/convertible support, not all grant.</t>
        </is>
      </c>
      <c r="U52" s="2" t="inlineStr">
        <is>
          <t>Eligibility inquiry only; do not apply using an entity that fails ownership/age.</t>
        </is>
      </c>
      <c r="V52" s="2" t="inlineStr">
        <is>
          <t>Official scheme lists incorporation-age and Indian-promoter ownership gates.</t>
        </is>
      </c>
      <c r="W52" s="3" t="inlineStr">
        <is>
          <t>https://seedfund.startupindia.gov.in/about</t>
        </is>
      </c>
      <c r="X52" s="4" t="n">
        <v>46301</v>
      </c>
    </row>
    <row r="53" ht="78" customHeight="1">
      <c r="A53" s="2" t="inlineStr">
        <is>
          <t>CC-052</t>
        </is>
      </c>
      <c r="B53" s="2" t="inlineStr">
        <is>
          <t>India</t>
        </is>
      </c>
      <c r="C53" s="2" t="n">
        <v>11</v>
      </c>
      <c r="D53" s="2" t="inlineStr">
        <is>
          <t>Everstone Capital</t>
        </is>
      </c>
      <c r="E53" s="2" t="inlineStr">
        <is>
          <t>PE</t>
        </is>
      </c>
      <c r="F53" s="2" t="inlineStr">
        <is>
          <t>Growth/control investment / portfolio route</t>
        </is>
      </c>
      <c r="G53" s="2" t="inlineStr">
        <is>
          <t>Industrial / healthcare / digital / logistics</t>
        </is>
      </c>
      <c r="H53" s="2" t="inlineStr">
        <is>
          <t>Current direct capital fit very low (analyst view)</t>
        </is>
      </c>
      <c r="I53" s="2" t="inlineStr">
        <is>
          <t>Later / portfolio route</t>
        </is>
      </c>
      <c r="J53" s="2" t="inlineStr">
        <is>
          <t>Very low</t>
        </is>
      </c>
      <c r="K53" s="2" t="inlineStr">
        <is>
          <t>Very low / defer</t>
        </is>
      </c>
      <c r="L53" s="2" t="n">
        <v>3</v>
      </c>
      <c r="M53" s="2" t="n">
        <v>1</v>
      </c>
      <c r="N53" s="2" t="n">
        <v>1</v>
      </c>
      <c r="O53" s="2">
        <f>ROUND(L53*10+M53*6+N53*4,0)</f>
        <v/>
      </c>
      <c r="P53" s="2" t="inlineStr">
        <is>
          <t>Established PE businesses; no verified pre-revenue seed offer.</t>
        </is>
      </c>
      <c r="Q53" s="2" t="inlineStr">
        <is>
          <t>Official PE and India contact pages</t>
        </is>
      </c>
      <c r="R53" s="2" t="inlineStr">
        <is>
          <t>Mumbai office +91 22 4043 6000</t>
        </is>
      </c>
      <c r="S53" s="3" t="inlineStr">
        <is>
          <t>https://everstonecapital.com/contact/</t>
        </is>
      </c>
      <c r="T53" s="2" t="inlineStr">
        <is>
          <t>Not publicly confirmed; request current terms</t>
        </is>
      </c>
      <c r="U53" s="2" t="inlineStr">
        <is>
          <t>Seek relevant portfolio buyer/technology-pilot introduction after demonstrated outcome.</t>
        </is>
      </c>
      <c r="V53" s="2" t="inlineStr">
        <is>
          <t>Official India/SEA PE platform; contact includes fund registrations.</t>
        </is>
      </c>
      <c r="W53" s="3" t="inlineStr">
        <is>
          <t>https://everstonecapital.com/</t>
        </is>
      </c>
      <c r="X53" s="4" t="n">
        <v>46301</v>
      </c>
    </row>
  </sheetData>
  <autoFilter ref="A1:X53"/>
  <conditionalFormatting sqref="O2:O53">
    <cfRule type="colorScale" priority="1">
      <colorScale>
        <cfvo type="min"/>
        <cfvo type="max"/>
        <color rgb="00FFF2CC"/>
        <color rgb="0083D0C5"/>
      </colorScale>
    </cfRule>
  </conditionalFormatting>
  <dataValidations count="1">
    <dataValidation sqref="L2:N53" showDropDown="0" showInputMessage="0" showErrorMessage="0" allowBlank="0" type="whole" operator="between">
      <formula1>1</formula1>
      <formula2>5</formula2>
    </dataValidation>
  </dataValidations>
  <hyperlinks>
    <hyperlink xmlns:r="http://schemas.openxmlformats.org/officeDocument/2006/relationships" ref="S2" r:id="rId1"/>
    <hyperlink xmlns:r="http://schemas.openxmlformats.org/officeDocument/2006/relationships" ref="W2" r:id="rId2"/>
    <hyperlink xmlns:r="http://schemas.openxmlformats.org/officeDocument/2006/relationships" ref="S3" r:id="rId3"/>
    <hyperlink xmlns:r="http://schemas.openxmlformats.org/officeDocument/2006/relationships" ref="W3" r:id="rId4"/>
    <hyperlink xmlns:r="http://schemas.openxmlformats.org/officeDocument/2006/relationships" ref="S4" r:id="rId5"/>
    <hyperlink xmlns:r="http://schemas.openxmlformats.org/officeDocument/2006/relationships" ref="W4" r:id="rId6"/>
    <hyperlink xmlns:r="http://schemas.openxmlformats.org/officeDocument/2006/relationships" ref="S5" r:id="rId7"/>
    <hyperlink xmlns:r="http://schemas.openxmlformats.org/officeDocument/2006/relationships" ref="W5" r:id="rId8"/>
    <hyperlink xmlns:r="http://schemas.openxmlformats.org/officeDocument/2006/relationships" ref="S6" r:id="rId9"/>
    <hyperlink xmlns:r="http://schemas.openxmlformats.org/officeDocument/2006/relationships" ref="W6" r:id="rId10"/>
    <hyperlink xmlns:r="http://schemas.openxmlformats.org/officeDocument/2006/relationships" ref="S7" r:id="rId11"/>
    <hyperlink xmlns:r="http://schemas.openxmlformats.org/officeDocument/2006/relationships" ref="W7" r:id="rId12"/>
    <hyperlink xmlns:r="http://schemas.openxmlformats.org/officeDocument/2006/relationships" ref="S8" r:id="rId13"/>
    <hyperlink xmlns:r="http://schemas.openxmlformats.org/officeDocument/2006/relationships" ref="W8" r:id="rId14"/>
    <hyperlink xmlns:r="http://schemas.openxmlformats.org/officeDocument/2006/relationships" ref="S9" r:id="rId15"/>
    <hyperlink xmlns:r="http://schemas.openxmlformats.org/officeDocument/2006/relationships" ref="W9" r:id="rId16"/>
    <hyperlink xmlns:r="http://schemas.openxmlformats.org/officeDocument/2006/relationships" ref="S10" r:id="rId17"/>
    <hyperlink xmlns:r="http://schemas.openxmlformats.org/officeDocument/2006/relationships" ref="W10" r:id="rId18"/>
    <hyperlink xmlns:r="http://schemas.openxmlformats.org/officeDocument/2006/relationships" ref="S11" r:id="rId19"/>
    <hyperlink xmlns:r="http://schemas.openxmlformats.org/officeDocument/2006/relationships" ref="W11" r:id="rId20"/>
    <hyperlink xmlns:r="http://schemas.openxmlformats.org/officeDocument/2006/relationships" ref="S12" r:id="rId21"/>
    <hyperlink xmlns:r="http://schemas.openxmlformats.org/officeDocument/2006/relationships" ref="W12" r:id="rId22"/>
    <hyperlink xmlns:r="http://schemas.openxmlformats.org/officeDocument/2006/relationships" ref="S13" r:id="rId23"/>
    <hyperlink xmlns:r="http://schemas.openxmlformats.org/officeDocument/2006/relationships" ref="W13" r:id="rId24"/>
    <hyperlink xmlns:r="http://schemas.openxmlformats.org/officeDocument/2006/relationships" ref="S14" r:id="rId25"/>
    <hyperlink xmlns:r="http://schemas.openxmlformats.org/officeDocument/2006/relationships" ref="W14" r:id="rId26"/>
    <hyperlink xmlns:r="http://schemas.openxmlformats.org/officeDocument/2006/relationships" ref="S15" r:id="rId27"/>
    <hyperlink xmlns:r="http://schemas.openxmlformats.org/officeDocument/2006/relationships" ref="W15" r:id="rId28"/>
    <hyperlink xmlns:r="http://schemas.openxmlformats.org/officeDocument/2006/relationships" ref="S16" r:id="rId29"/>
    <hyperlink xmlns:r="http://schemas.openxmlformats.org/officeDocument/2006/relationships" ref="W16" r:id="rId30"/>
    <hyperlink xmlns:r="http://schemas.openxmlformats.org/officeDocument/2006/relationships" ref="S17" r:id="rId31"/>
    <hyperlink xmlns:r="http://schemas.openxmlformats.org/officeDocument/2006/relationships" ref="W17" r:id="rId32"/>
    <hyperlink xmlns:r="http://schemas.openxmlformats.org/officeDocument/2006/relationships" ref="S18" r:id="rId33"/>
    <hyperlink xmlns:r="http://schemas.openxmlformats.org/officeDocument/2006/relationships" ref="W18" r:id="rId34"/>
    <hyperlink xmlns:r="http://schemas.openxmlformats.org/officeDocument/2006/relationships" ref="S19" r:id="rId35"/>
    <hyperlink xmlns:r="http://schemas.openxmlformats.org/officeDocument/2006/relationships" ref="W19" r:id="rId36"/>
    <hyperlink xmlns:r="http://schemas.openxmlformats.org/officeDocument/2006/relationships" ref="S20" r:id="rId37"/>
    <hyperlink xmlns:r="http://schemas.openxmlformats.org/officeDocument/2006/relationships" ref="W20" r:id="rId38"/>
    <hyperlink xmlns:r="http://schemas.openxmlformats.org/officeDocument/2006/relationships" ref="S21" r:id="rId39"/>
    <hyperlink xmlns:r="http://schemas.openxmlformats.org/officeDocument/2006/relationships" ref="W21" r:id="rId40"/>
    <hyperlink xmlns:r="http://schemas.openxmlformats.org/officeDocument/2006/relationships" ref="S22" r:id="rId41"/>
    <hyperlink xmlns:r="http://schemas.openxmlformats.org/officeDocument/2006/relationships" ref="W22" r:id="rId42"/>
    <hyperlink xmlns:r="http://schemas.openxmlformats.org/officeDocument/2006/relationships" ref="S23" r:id="rId43"/>
    <hyperlink xmlns:r="http://schemas.openxmlformats.org/officeDocument/2006/relationships" ref="W23" r:id="rId44"/>
    <hyperlink xmlns:r="http://schemas.openxmlformats.org/officeDocument/2006/relationships" ref="S24" r:id="rId45"/>
    <hyperlink xmlns:r="http://schemas.openxmlformats.org/officeDocument/2006/relationships" ref="W24" r:id="rId46"/>
    <hyperlink xmlns:r="http://schemas.openxmlformats.org/officeDocument/2006/relationships" ref="S25" r:id="rId47"/>
    <hyperlink xmlns:r="http://schemas.openxmlformats.org/officeDocument/2006/relationships" ref="W25" r:id="rId48"/>
    <hyperlink xmlns:r="http://schemas.openxmlformats.org/officeDocument/2006/relationships" ref="S26" r:id="rId49"/>
    <hyperlink xmlns:r="http://schemas.openxmlformats.org/officeDocument/2006/relationships" ref="W26" r:id="rId50"/>
    <hyperlink xmlns:r="http://schemas.openxmlformats.org/officeDocument/2006/relationships" ref="S27" r:id="rId51"/>
    <hyperlink xmlns:r="http://schemas.openxmlformats.org/officeDocument/2006/relationships" ref="W27" r:id="rId52"/>
    <hyperlink xmlns:r="http://schemas.openxmlformats.org/officeDocument/2006/relationships" ref="S28" r:id="rId53"/>
    <hyperlink xmlns:r="http://schemas.openxmlformats.org/officeDocument/2006/relationships" ref="W28" r:id="rId54"/>
    <hyperlink xmlns:r="http://schemas.openxmlformats.org/officeDocument/2006/relationships" ref="S29" r:id="rId55"/>
    <hyperlink xmlns:r="http://schemas.openxmlformats.org/officeDocument/2006/relationships" ref="W29" r:id="rId56"/>
    <hyperlink xmlns:r="http://schemas.openxmlformats.org/officeDocument/2006/relationships" ref="S30" r:id="rId57"/>
    <hyperlink xmlns:r="http://schemas.openxmlformats.org/officeDocument/2006/relationships" ref="W30" r:id="rId58"/>
    <hyperlink xmlns:r="http://schemas.openxmlformats.org/officeDocument/2006/relationships" ref="S31" r:id="rId59"/>
    <hyperlink xmlns:r="http://schemas.openxmlformats.org/officeDocument/2006/relationships" ref="W31" r:id="rId60"/>
    <hyperlink xmlns:r="http://schemas.openxmlformats.org/officeDocument/2006/relationships" ref="S32" r:id="rId61"/>
    <hyperlink xmlns:r="http://schemas.openxmlformats.org/officeDocument/2006/relationships" ref="W32" r:id="rId62"/>
    <hyperlink xmlns:r="http://schemas.openxmlformats.org/officeDocument/2006/relationships" ref="S33" r:id="rId63"/>
    <hyperlink xmlns:r="http://schemas.openxmlformats.org/officeDocument/2006/relationships" ref="W33" r:id="rId64"/>
    <hyperlink xmlns:r="http://schemas.openxmlformats.org/officeDocument/2006/relationships" ref="S34" r:id="rId65"/>
    <hyperlink xmlns:r="http://schemas.openxmlformats.org/officeDocument/2006/relationships" ref="W34" r:id="rId66"/>
    <hyperlink xmlns:r="http://schemas.openxmlformats.org/officeDocument/2006/relationships" ref="S35" r:id="rId67"/>
    <hyperlink xmlns:r="http://schemas.openxmlformats.org/officeDocument/2006/relationships" ref="W35" r:id="rId68"/>
    <hyperlink xmlns:r="http://schemas.openxmlformats.org/officeDocument/2006/relationships" ref="S36" r:id="rId69"/>
    <hyperlink xmlns:r="http://schemas.openxmlformats.org/officeDocument/2006/relationships" ref="W36" r:id="rId70"/>
    <hyperlink xmlns:r="http://schemas.openxmlformats.org/officeDocument/2006/relationships" ref="S37" r:id="rId71"/>
    <hyperlink xmlns:r="http://schemas.openxmlformats.org/officeDocument/2006/relationships" ref="W37" r:id="rId72"/>
    <hyperlink xmlns:r="http://schemas.openxmlformats.org/officeDocument/2006/relationships" ref="S38" r:id="rId73"/>
    <hyperlink xmlns:r="http://schemas.openxmlformats.org/officeDocument/2006/relationships" ref="W38" r:id="rId74"/>
    <hyperlink xmlns:r="http://schemas.openxmlformats.org/officeDocument/2006/relationships" ref="S39" r:id="rId75"/>
    <hyperlink xmlns:r="http://schemas.openxmlformats.org/officeDocument/2006/relationships" ref="W39" r:id="rId76"/>
    <hyperlink xmlns:r="http://schemas.openxmlformats.org/officeDocument/2006/relationships" ref="S40" r:id="rId77"/>
    <hyperlink xmlns:r="http://schemas.openxmlformats.org/officeDocument/2006/relationships" ref="W40" r:id="rId78"/>
    <hyperlink xmlns:r="http://schemas.openxmlformats.org/officeDocument/2006/relationships" ref="S41" r:id="rId79"/>
    <hyperlink xmlns:r="http://schemas.openxmlformats.org/officeDocument/2006/relationships" ref="W41" r:id="rId80"/>
    <hyperlink xmlns:r="http://schemas.openxmlformats.org/officeDocument/2006/relationships" ref="S42" r:id="rId81"/>
    <hyperlink xmlns:r="http://schemas.openxmlformats.org/officeDocument/2006/relationships" ref="W42" r:id="rId82"/>
    <hyperlink xmlns:r="http://schemas.openxmlformats.org/officeDocument/2006/relationships" ref="S43" r:id="rId83"/>
    <hyperlink xmlns:r="http://schemas.openxmlformats.org/officeDocument/2006/relationships" ref="W43" r:id="rId84"/>
    <hyperlink xmlns:r="http://schemas.openxmlformats.org/officeDocument/2006/relationships" ref="S44" r:id="rId85"/>
    <hyperlink xmlns:r="http://schemas.openxmlformats.org/officeDocument/2006/relationships" ref="W44" r:id="rId86"/>
    <hyperlink xmlns:r="http://schemas.openxmlformats.org/officeDocument/2006/relationships" ref="S45" r:id="rId87"/>
    <hyperlink xmlns:r="http://schemas.openxmlformats.org/officeDocument/2006/relationships" ref="W45" r:id="rId88"/>
    <hyperlink xmlns:r="http://schemas.openxmlformats.org/officeDocument/2006/relationships" ref="S46" r:id="rId89"/>
    <hyperlink xmlns:r="http://schemas.openxmlformats.org/officeDocument/2006/relationships" ref="W46" r:id="rId90"/>
    <hyperlink xmlns:r="http://schemas.openxmlformats.org/officeDocument/2006/relationships" ref="S47" r:id="rId91"/>
    <hyperlink xmlns:r="http://schemas.openxmlformats.org/officeDocument/2006/relationships" ref="W47" r:id="rId92"/>
    <hyperlink xmlns:r="http://schemas.openxmlformats.org/officeDocument/2006/relationships" ref="S48" r:id="rId93"/>
    <hyperlink xmlns:r="http://schemas.openxmlformats.org/officeDocument/2006/relationships" ref="W48" r:id="rId94"/>
    <hyperlink xmlns:r="http://schemas.openxmlformats.org/officeDocument/2006/relationships" ref="S49" r:id="rId95"/>
    <hyperlink xmlns:r="http://schemas.openxmlformats.org/officeDocument/2006/relationships" ref="W49" r:id="rId96"/>
    <hyperlink xmlns:r="http://schemas.openxmlformats.org/officeDocument/2006/relationships" ref="S50" r:id="rId97"/>
    <hyperlink xmlns:r="http://schemas.openxmlformats.org/officeDocument/2006/relationships" ref="W50" r:id="rId98"/>
    <hyperlink xmlns:r="http://schemas.openxmlformats.org/officeDocument/2006/relationships" ref="S51" r:id="rId99"/>
    <hyperlink xmlns:r="http://schemas.openxmlformats.org/officeDocument/2006/relationships" ref="W51" r:id="rId100"/>
    <hyperlink xmlns:r="http://schemas.openxmlformats.org/officeDocument/2006/relationships" ref="S52" r:id="rId101"/>
    <hyperlink xmlns:r="http://schemas.openxmlformats.org/officeDocument/2006/relationships" ref="W52" r:id="rId102"/>
    <hyperlink xmlns:r="http://schemas.openxmlformats.org/officeDocument/2006/relationships" ref="S53" r:id="rId103"/>
    <hyperlink xmlns:r="http://schemas.openxmlformats.org/officeDocument/2006/relationships" ref="W53" r:id="rId10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05"/>
  </tableParts>
</worksheet>
</file>

<file path=xl/worksheets/sheet4.xml><?xml version="1.0" encoding="utf-8"?>
<worksheet xmlns="http://schemas.openxmlformats.org/spreadsheetml/2006/main">
  <sheetPr>
    <tabColor rgb="00007F86"/>
    <outlinePr summaryBelow="1" summaryRight="1"/>
    <pageSetUpPr fitToPage="1"/>
  </sheetPr>
  <dimension ref="A1:X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34" customWidth="1" min="4" max="4"/>
    <col width="26" customWidth="1" min="5" max="5"/>
    <col width="26" customWidth="1" min="6" max="6"/>
    <col width="34" customWidth="1" min="7" max="7"/>
    <col width="3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62" customWidth="1" min="16" max="16"/>
    <col width="45" customWidth="1" min="17" max="17"/>
    <col width="44" customWidth="1" min="18" max="18"/>
    <col width="48" customWidth="1" min="19" max="19"/>
    <col width="45" customWidth="1" min="20" max="20"/>
    <col width="62" customWidth="1" min="21" max="21"/>
    <col width="50" customWidth="1" min="22" max="22"/>
    <col width="48" customWidth="1" min="23" max="23"/>
    <col width="17" customWidth="1" min="24" max="24"/>
  </cols>
  <sheetData>
    <row r="1" ht="32" customHeight="1">
      <c r="A1" s="1" t="inlineStr">
        <is>
          <t>Prospect ID</t>
        </is>
      </c>
      <c r="B1" s="1" t="inlineStr">
        <is>
          <t>Country</t>
        </is>
      </c>
      <c r="C1" s="1" t="inlineStr">
        <is>
          <t>Country rank</t>
        </is>
      </c>
      <c r="D1" s="1" t="inlineStr">
        <is>
          <t>Organization / programme</t>
        </is>
      </c>
      <c r="E1" s="1" t="inlineStr">
        <is>
          <t>Category</t>
        </is>
      </c>
      <c r="F1" s="1" t="inlineStr">
        <is>
          <t>Instrument</t>
        </is>
      </c>
      <c r="G1" s="1" t="inlineStr">
        <is>
          <t>Relevant vertical / product</t>
        </is>
      </c>
      <c r="H1" s="1" t="inlineStr">
        <is>
          <t>Pre-revenue stage evidence</t>
        </is>
      </c>
      <c r="I1" s="1" t="inlineStr">
        <is>
          <t>Route</t>
        </is>
      </c>
      <c r="J1" s="1" t="inlineStr">
        <is>
          <t>Engagement outlook</t>
        </is>
      </c>
      <c r="K1" s="1" t="inlineStr">
        <is>
          <t>Direct cash outlook</t>
        </is>
      </c>
      <c r="L1" s="1" t="inlineStr">
        <is>
          <t>Relevance (1-5)</t>
        </is>
      </c>
      <c r="M1" s="1" t="inlineStr">
        <is>
          <t>Accessibility (1-5)</t>
        </is>
      </c>
      <c r="N1" s="1" t="inlineStr">
        <is>
          <t>Readiness (1-5)</t>
        </is>
      </c>
      <c r="O1" s="1" t="inlineStr">
        <is>
          <t>Priority score /100</t>
        </is>
      </c>
      <c r="P1" s="1" t="inlineStr">
        <is>
          <t>Eligibility / blockers</t>
        </is>
      </c>
      <c r="Q1" s="1" t="inlineStr">
        <is>
          <t>Current status</t>
        </is>
      </c>
      <c r="R1" s="1" t="inlineStr">
        <is>
          <t>Public contact / team</t>
        </is>
      </c>
      <c r="S1" s="1" t="inlineStr">
        <is>
          <t>Contact / apply URL</t>
        </is>
      </c>
      <c r="T1" s="1" t="inlineStr">
        <is>
          <t>Published benefit / terms</t>
        </is>
      </c>
      <c r="U1" s="1" t="inlineStr">
        <is>
          <t>Tailored first ask</t>
        </is>
      </c>
      <c r="V1" s="1" t="inlineStr">
        <is>
          <t>Evidence summary</t>
        </is>
      </c>
      <c r="W1" s="1" t="inlineStr">
        <is>
          <t>Official source URL</t>
        </is>
      </c>
      <c r="X1" s="1" t="inlineStr">
        <is>
          <t>Checked date</t>
        </is>
      </c>
    </row>
    <row r="2" ht="78" customHeight="1">
      <c r="A2" s="2" t="inlineStr">
        <is>
          <t>CC-001</t>
        </is>
      </c>
      <c r="B2" s="2" t="inlineStr">
        <is>
          <t>USA</t>
        </is>
      </c>
      <c r="C2" s="2" t="n">
        <v>1</v>
      </c>
      <c r="D2" s="2" t="inlineStr">
        <is>
          <t>AWS Activate</t>
        </is>
      </c>
      <c r="E2" s="2" t="inlineStr">
        <is>
          <t>Cloud credits</t>
        </is>
      </c>
      <c r="F2" s="2" t="inlineStr">
        <is>
          <t>Non-cash credits</t>
        </is>
      </c>
      <c r="G2" s="2" t="inlineStr">
        <is>
          <t>All / CK / ESG AIoT</t>
        </is>
      </c>
      <c r="H2" s="2" t="inlineStr">
        <is>
          <t>Pre-seed supported</t>
        </is>
      </c>
      <c r="I2" s="2" t="inlineStr">
        <is>
          <t>Contact now</t>
        </is>
      </c>
      <c r="J2" s="2" t="inlineStr">
        <is>
          <t>High</t>
        </is>
      </c>
      <c r="K2" s="2" t="inlineStr">
        <is>
          <t>No unrestricted cash</t>
        </is>
      </c>
      <c r="L2" s="2" t="n">
        <v>5</v>
      </c>
      <c r="M2" s="2" t="n">
        <v>5</v>
      </c>
      <c r="N2" s="2" t="n">
        <v>5</v>
      </c>
      <c r="O2" s="2" t="n">
        <v>100</v>
      </c>
      <c r="P2" s="2" t="inlineStr">
        <is>
          <t>Founded within last 10 years; paid-tier AWS account; prior credits check. Inspironics Nov 2017 appears within age limit. Provider Org ID required for Portfolio.</t>
        </is>
      </c>
      <c r="Q2" s="2" t="inlineStr">
        <is>
          <t>Application route live</t>
        </is>
      </c>
      <c r="R2" s="2" t="inlineStr">
        <is>
          <t>AWS Activate application team</t>
        </is>
      </c>
      <c r="S2" s="3" t="inlineStr">
        <is>
          <t>https://aws.amazon.com/startups/credits/</t>
        </is>
      </c>
      <c r="T2" s="2" t="inlineStr">
        <is>
          <t>Founders starts $1,000; selected up to $5,000. Portfolio up to $200,000; conditional, not cash.</t>
        </is>
      </c>
      <c r="U2" s="2" t="inlineStr">
        <is>
          <t>Check prior credits, then apply for appropriate tier to support CK/ESG/Yardos demos.</t>
        </is>
      </c>
      <c r="V2" s="2" t="inlineStr">
        <is>
          <t>Published startup age and tier requirements; application portal available.</t>
        </is>
      </c>
      <c r="W2" s="3" t="inlineStr">
        <is>
          <t>https://aws.amazon.com/startups/credits/</t>
        </is>
      </c>
      <c r="X2" s="4" t="n">
        <v>46301</v>
      </c>
    </row>
    <row r="3" ht="78" customHeight="1">
      <c r="A3" s="2" t="inlineStr">
        <is>
          <t>CC-002</t>
        </is>
      </c>
      <c r="B3" s="2" t="inlineStr">
        <is>
          <t>USA</t>
        </is>
      </c>
      <c r="C3" s="2" t="n">
        <v>2</v>
      </c>
      <c r="D3" s="2" t="inlineStr">
        <is>
          <t>CO.LAB / The Company Lab</t>
        </is>
      </c>
      <c r="E3" s="2" t="inlineStr">
        <is>
          <t>Accelerator</t>
        </is>
      </c>
      <c r="F3" s="2" t="inlineStr">
        <is>
          <t>Mentoring / pilots; capital terms to confirm</t>
        </is>
      </c>
      <c r="G3" s="2" t="inlineStr">
        <is>
          <t>Energy / industrial efficiency / data</t>
        </is>
      </c>
      <c r="H3" s="2" t="inlineStr">
        <is>
          <t>Early-stage accelerator</t>
        </is>
      </c>
      <c r="I3" s="2" t="inlineStr">
        <is>
          <t>Contact now</t>
        </is>
      </c>
      <c r="J3" s="2" t="inlineStr">
        <is>
          <t>High</t>
        </is>
      </c>
      <c r="K3" s="2" t="inlineStr">
        <is>
          <t>No direct cash confirmed</t>
        </is>
      </c>
      <c r="L3" s="2" t="n">
        <v>5</v>
      </c>
      <c r="M3" s="2" t="n">
        <v>4</v>
      </c>
      <c r="N3" s="2" t="n">
        <v>4</v>
      </c>
      <c r="O3" s="2" t="n">
        <v>90</v>
      </c>
      <c r="P3" s="2" t="inlineStr">
        <is>
          <t>Assumed user means Chattanooga CO.LAB; confirm cohort, in-person commitment, equity and award terms.</t>
        </is>
      </c>
      <c r="Q3" s="2" t="inlineStr">
        <is>
          <t>Application link live; next intake unconfirmed</t>
        </is>
      </c>
      <c r="R3" s="2" t="inlineStr">
        <is>
          <t>info@colab.is | +1 423-281-0811</t>
        </is>
      </c>
      <c r="S3" s="3" t="inlineStr">
        <is>
          <t>https://thecompanylab.org/accelerator/energy-innovation/</t>
        </is>
      </c>
      <c r="T3" s="2" t="inlineStr">
        <is>
          <t>Not publicly confirmed; request current terms</t>
        </is>
      </c>
      <c r="U3" s="2" t="inlineStr">
        <is>
          <t>Request energy-cohort screening and utility/industrial pilot introductions for CK + ESG AIoT.</t>
        </is>
      </c>
      <c r="V3" s="2" t="inlineStr">
        <is>
          <t>Official energy programme and public email listed.</t>
        </is>
      </c>
      <c r="W3" s="3" t="inlineStr">
        <is>
          <t>https://thecompanylab.org/accelerator/energy-innovation/</t>
        </is>
      </c>
      <c r="X3" s="4" t="n">
        <v>46301</v>
      </c>
    </row>
    <row r="4" ht="78" customHeight="1">
      <c r="A4" s="2" t="inlineStr">
        <is>
          <t>CC-003</t>
        </is>
      </c>
      <c r="B4" s="2" t="inlineStr">
        <is>
          <t>USA</t>
        </is>
      </c>
      <c r="C4" s="2" t="n">
        <v>3</v>
      </c>
      <c r="D4" s="2" t="inlineStr">
        <is>
          <t>Rutgers EcoComplex</t>
        </is>
      </c>
      <c r="E4" s="2" t="inlineStr">
        <is>
          <t>Academia / incubator</t>
        </is>
      </c>
      <c r="F4" s="2" t="inlineStr">
        <is>
          <t>Validation / facilities / introductions</t>
        </is>
      </c>
      <c r="G4" s="2" t="inlineStr">
        <is>
          <t>Clean energy / controlled-environment agriculture</t>
        </is>
      </c>
      <c r="H4" s="2" t="inlineStr">
        <is>
          <t>Incubation pathway; admission discretionary</t>
        </is>
      </c>
      <c r="I4" s="2" t="inlineStr">
        <is>
          <t>Contact now</t>
        </is>
      </c>
      <c r="J4" s="2" t="inlineStr">
        <is>
          <t>High</t>
        </is>
      </c>
      <c r="K4" s="2" t="inlineStr">
        <is>
          <t>No direct cash confirmed</t>
        </is>
      </c>
      <c r="L4" s="2" t="n">
        <v>5</v>
      </c>
      <c r="M4" s="2" t="n">
        <v>4</v>
      </c>
      <c r="N4" s="2" t="n">
        <v>4</v>
      </c>
      <c r="O4" s="2" t="n">
        <v>90</v>
      </c>
      <c r="P4" s="2" t="inlineStr">
        <is>
          <t>Paid facilities/incubation possible; academic tie-up does not automatically fund startup.</t>
        </is>
      </c>
      <c r="Q4" s="2" t="inlineStr">
        <is>
          <t>Public contact live</t>
        </is>
      </c>
      <c r="R4" s="2" t="inlineStr">
        <is>
          <t>ecocomplex@njaes.rutgers.edu</t>
        </is>
      </c>
      <c r="S4" s="3" t="inlineStr">
        <is>
          <t>https://ecocomplex.rutgers.edu/contact.html</t>
        </is>
      </c>
      <c r="T4" s="2" t="inlineStr">
        <is>
          <t>Not publicly confirmed; request current terms</t>
        </is>
      </c>
      <c r="U4" s="2" t="inlineStr">
        <is>
          <t>Request lab validation scope for energy/AQ/water and vertical-farm monitoring.</t>
        </is>
      </c>
      <c r="V4" s="2" t="inlineStr">
        <is>
          <t>Incubator covers clean energy, environmental and controlled-environment agriculture.</t>
        </is>
      </c>
      <c r="W4" s="3" t="inlineStr">
        <is>
          <t>https://ecocomplex.rutgers.edu/incubator-businesses.html</t>
        </is>
      </c>
      <c r="X4" s="4" t="n">
        <v>46301</v>
      </c>
    </row>
    <row r="5" ht="78" customHeight="1">
      <c r="A5" s="2" t="inlineStr">
        <is>
          <t>CC-004</t>
        </is>
      </c>
      <c r="B5" s="2" t="inlineStr">
        <is>
          <t>USA</t>
        </is>
      </c>
      <c r="C5" s="2" t="n">
        <v>4</v>
      </c>
      <c r="D5" s="2" t="inlineStr">
        <is>
          <t>AHLA / HTNG AI Community</t>
        </is>
      </c>
      <c r="E5" s="2" t="inlineStr">
        <is>
          <t>Industry consortium</t>
        </is>
      </c>
      <c r="F5" s="2" t="inlineStr">
        <is>
          <t>Standards / buyer access; no direct capital</t>
        </is>
      </c>
      <c r="G5" s="2" t="inlineStr">
        <is>
          <t>Hospitality / HMS / Xenia</t>
        </is>
      </c>
      <c r="H5" s="2" t="inlineStr">
        <is>
          <t>Vendor ecosystem access</t>
        </is>
      </c>
      <c r="I5" s="2" t="inlineStr">
        <is>
          <t>Contact now</t>
        </is>
      </c>
      <c r="J5" s="2" t="inlineStr">
        <is>
          <t>High</t>
        </is>
      </c>
      <c r="K5" s="2" t="inlineStr">
        <is>
          <t>No direct cash confirmed</t>
        </is>
      </c>
      <c r="L5" s="2" t="n">
        <v>5</v>
      </c>
      <c r="M5" s="2" t="n">
        <v>4</v>
      </c>
      <c r="N5" s="2" t="n">
        <v>4</v>
      </c>
      <c r="O5" s="2" t="n">
        <v>90</v>
      </c>
      <c r="P5" s="2" t="inlineStr">
        <is>
          <t>Membership fees and working-group terms to check.</t>
        </is>
      </c>
      <c r="Q5" s="2" t="inlineStr">
        <is>
          <t>Public AI community contact</t>
        </is>
      </c>
      <c r="R5" s="2" t="inlineStr">
        <is>
          <t>Darrel Hugh | dhugh@ahla.com</t>
        </is>
      </c>
      <c r="S5" s="3" t="inlineStr">
        <is>
          <t>https://www.ahla.com/htng/communities-of-interest-artificial-intelligence</t>
        </is>
      </c>
      <c r="T5" s="2" t="inlineStr">
        <is>
          <t>Not publicly confirmed; request current terms</t>
        </is>
      </c>
      <c r="U5" s="2" t="inlineStr">
        <is>
          <t>Request interoperability/AI working-group access and hotel pilot introductions.</t>
        </is>
      </c>
      <c r="V5" s="2" t="inlineStr">
        <is>
          <t>AI community has a named AHLA contact.</t>
        </is>
      </c>
      <c r="W5" s="3" t="inlineStr">
        <is>
          <t>https://www.ahla.com/htng/communities-of-interest-artificial-intelligence</t>
        </is>
      </c>
      <c r="X5" s="4" t="n">
        <v>46301</v>
      </c>
    </row>
    <row r="6" ht="78" customHeight="1">
      <c r="A6" s="2" t="inlineStr">
        <is>
          <t>CC-005</t>
        </is>
      </c>
      <c r="B6" s="2" t="inlineStr">
        <is>
          <t>USA</t>
        </is>
      </c>
      <c r="C6" s="2" t="n">
        <v>5</v>
      </c>
      <c r="D6" s="2" t="inlineStr">
        <is>
          <t>PSE&amp;G Energy Management / Trade Ally</t>
        </is>
      </c>
      <c r="E6" s="2" t="inlineStr">
        <is>
          <t>Utility programme</t>
        </is>
      </c>
      <c r="F6" s="2" t="inlineStr">
        <is>
          <t>Customer incentives / delivery channel</t>
        </is>
      </c>
      <c r="G6" s="2" t="inlineStr">
        <is>
          <t>Buildings / factories / hospitals</t>
        </is>
      </c>
      <c r="H6" s="2" t="inlineStr">
        <is>
          <t>Technology partner; not corporate grant</t>
        </is>
      </c>
      <c r="I6" s="2" t="inlineStr">
        <is>
          <t>Contact now</t>
        </is>
      </c>
      <c r="J6" s="2" t="inlineStr">
        <is>
          <t>High</t>
        </is>
      </c>
      <c r="K6" s="2" t="inlineStr">
        <is>
          <t>No direct cash confirmed</t>
        </is>
      </c>
      <c r="L6" s="2" t="n">
        <v>5</v>
      </c>
      <c r="M6" s="2" t="n">
        <v>4</v>
      </c>
      <c r="N6" s="2" t="n">
        <v>3</v>
      </c>
      <c r="O6" s="2" t="n">
        <v>86</v>
      </c>
      <c r="P6" s="2" t="inlineStr">
        <is>
          <t>NJ customer site; approved measure and delivery partner; standalone SaaS eligibility unconfirmed.</t>
        </is>
      </c>
      <c r="Q6" s="2" t="inlineStr">
        <is>
          <t>Programme and Trade Ally route live</t>
        </is>
      </c>
      <c r="R6" s="2" t="inlineStr">
        <is>
          <t>PSEG-CleanEnergy@pseg.com</t>
        </is>
      </c>
      <c r="S6" s="3" t="inlineStr">
        <is>
          <t>https://mybizenergy.pseg.com/energy-management-program</t>
        </is>
      </c>
      <c r="T6" s="2" t="inlineStr">
        <is>
          <t>Customer project incentives; no startup cash award assumed.</t>
        </is>
      </c>
      <c r="U6" s="2" t="inlineStr">
        <is>
          <t>Ask whether CK monitoring can qualify through an approved commissioning/ESCO partner.</t>
        </is>
      </c>
      <c r="V6" s="2" t="inlineStr">
        <is>
          <t>Monitoring-based commissioning and partner participation are published.</t>
        </is>
      </c>
      <c r="W6" s="3" t="inlineStr">
        <is>
          <t>https://bizsaveportal.pseg.com/TradeAlly/TradeAllyApplication/Begin</t>
        </is>
      </c>
      <c r="X6" s="4" t="n">
        <v>46301</v>
      </c>
    </row>
    <row r="7" ht="78" customHeight="1">
      <c r="A7" s="2" t="inlineStr">
        <is>
          <t>CC-006</t>
        </is>
      </c>
      <c r="B7" s="2" t="inlineStr">
        <is>
          <t>USA</t>
        </is>
      </c>
      <c r="C7" s="2" t="n">
        <v>6</v>
      </c>
      <c r="D7" s="2" t="inlineStr">
        <is>
          <t>Third Derivative (RMI)</t>
        </is>
      </c>
      <c r="E7" s="2" t="inlineStr">
        <is>
          <t>Accelerator</t>
        </is>
      </c>
      <c r="F7" s="2" t="inlineStr">
        <is>
          <t>Climate accelerator / investor access</t>
        </is>
      </c>
      <c r="G7" s="2" t="inlineStr">
        <is>
          <t>Buildings / industry / energy</t>
        </is>
      </c>
      <c r="H7" s="2" t="inlineStr">
        <is>
          <t>Climate startup pathway</t>
        </is>
      </c>
      <c r="I7" s="2" t="inlineStr">
        <is>
          <t>Contact now</t>
        </is>
      </c>
      <c r="J7" s="2" t="inlineStr">
        <is>
          <t>Medium</t>
        </is>
      </c>
      <c r="K7" s="2" t="inlineStr">
        <is>
          <t>No direct cash confirmed</t>
        </is>
      </c>
      <c r="L7" s="2" t="n">
        <v>5</v>
      </c>
      <c r="M7" s="2" t="n">
        <v>3</v>
      </c>
      <c r="N7" s="2" t="n">
        <v>4</v>
      </c>
      <c r="O7" s="2" t="n">
        <v>84</v>
      </c>
      <c r="P7" s="2" t="inlineStr">
        <is>
          <t>Show material climate impact and defensible innovation; verify intake and investment terms.</t>
        </is>
      </c>
      <c r="Q7" s="2" t="inlineStr">
        <is>
          <t>Programme listed; intake dates unconfirmed</t>
        </is>
      </c>
      <c r="R7" s="2" t="inlineStr">
        <is>
          <t>Startup application team via programme page</t>
        </is>
      </c>
      <c r="S7" s="3" t="inlineStr">
        <is>
          <t>https://www.third-derivative.org/startups</t>
        </is>
      </c>
      <c r="T7" s="2" t="inlineStr">
        <is>
          <t>Not publicly confirmed; request current terms</t>
        </is>
      </c>
      <c r="U7" s="2" t="inlineStr">
        <is>
          <t>Submit one climate use case with baseline-to-outcome measurement and pilot design.</t>
        </is>
      </c>
      <c r="V7" s="2" t="inlineStr">
        <is>
          <t>Global climate accelerator invites relevant startups.</t>
        </is>
      </c>
      <c r="W7" s="3" t="inlineStr">
        <is>
          <t>https://www.third-derivative.org/startups</t>
        </is>
      </c>
      <c r="X7" s="4" t="n">
        <v>46301</v>
      </c>
    </row>
    <row r="8" ht="78" customHeight="1">
      <c r="A8" s="2" t="inlineStr">
        <is>
          <t>CC-007</t>
        </is>
      </c>
      <c r="B8" s="2" t="inlineStr">
        <is>
          <t>USA</t>
        </is>
      </c>
      <c r="C8" s="2" t="n">
        <v>7</v>
      </c>
      <c r="D8" s="2" t="inlineStr">
        <is>
          <t>Clean Energy Venture Group</t>
        </is>
      </c>
      <c r="E8" s="2" t="inlineStr">
        <is>
          <t>Angel / VC</t>
        </is>
      </c>
      <c r="F8" s="2" t="inlineStr">
        <is>
          <t>Equity</t>
        </is>
      </c>
      <c r="G8" s="2" t="inlineStr">
        <is>
          <t>Energy / industrial / buildings</t>
        </is>
      </c>
      <c r="H8" s="2" t="inlineStr">
        <is>
          <t>Pre-seed / seed</t>
        </is>
      </c>
      <c r="I8" s="2" t="inlineStr">
        <is>
          <t>Contact now</t>
        </is>
      </c>
      <c r="J8" s="2" t="inlineStr">
        <is>
          <t>Medium</t>
        </is>
      </c>
      <c r="K8" s="2" t="inlineStr">
        <is>
          <t>Low to medium / competitive</t>
        </is>
      </c>
      <c r="L8" s="2" t="n">
        <v>5</v>
      </c>
      <c r="M8" s="2" t="n">
        <v>3</v>
      </c>
      <c r="N8" s="2" t="n">
        <v>3</v>
      </c>
      <c r="O8" s="2" t="n">
        <v>80</v>
      </c>
      <c r="P8" s="2" t="inlineStr">
        <is>
          <t>Technical defensibility and climate impact; US commercial plan needed.</t>
        </is>
      </c>
      <c r="Q8" s="2" t="inlineStr">
        <is>
          <t>Submission portal live</t>
        </is>
      </c>
      <c r="R8" s="2" t="inlineStr">
        <is>
          <t>Investment team via Apply portal</t>
        </is>
      </c>
      <c r="S8" s="3" t="inlineStr">
        <is>
          <t>https://cevg.com/apply/</t>
        </is>
      </c>
      <c r="T8" s="2" t="inlineStr">
        <is>
          <t>Not publicly confirmed; request current terms</t>
        </is>
      </c>
      <c r="U8" s="2" t="inlineStr">
        <is>
          <t>Pitch first pilot financing for energy anomaly detection and predictive maintenance.</t>
        </is>
      </c>
      <c r="V8" s="2" t="inlineStr">
        <is>
          <t>CEVG sister angel group explicitly backs pre-seed and seed.</t>
        </is>
      </c>
      <c r="W8" s="3" t="inlineStr">
        <is>
          <t>https://cleanenergyventures.com/working-with-us</t>
        </is>
      </c>
      <c r="X8" s="4" t="n">
        <v>46301</v>
      </c>
    </row>
    <row r="9" ht="78" customHeight="1">
      <c r="A9" s="2" t="inlineStr">
        <is>
          <t>CC-008</t>
        </is>
      </c>
      <c r="B9" s="2" t="inlineStr">
        <is>
          <t>USA</t>
        </is>
      </c>
      <c r="C9" s="2" t="n">
        <v>8</v>
      </c>
      <c r="D9" s="2" t="inlineStr">
        <is>
          <t>Congruent Ventures</t>
        </is>
      </c>
      <c r="E9" s="2" t="inlineStr">
        <is>
          <t>VC</t>
        </is>
      </c>
      <c r="F9" s="2" t="inlineStr">
        <is>
          <t>Equity</t>
        </is>
      </c>
      <c r="G9" s="2" t="inlineStr">
        <is>
          <t>Climate / buildings / industrial / agriculture</t>
        </is>
      </c>
      <c r="H9" s="2" t="inlineStr">
        <is>
          <t>Early-stage</t>
        </is>
      </c>
      <c r="I9" s="2" t="inlineStr">
        <is>
          <t>Contact now</t>
        </is>
      </c>
      <c r="J9" s="2" t="inlineStr">
        <is>
          <t>Medium</t>
        </is>
      </c>
      <c r="K9" s="2" t="inlineStr">
        <is>
          <t>Low to medium / competitive</t>
        </is>
      </c>
      <c r="L9" s="2" t="n">
        <v>5</v>
      </c>
      <c r="M9" s="2" t="n">
        <v>3</v>
      </c>
      <c r="N9" s="2" t="n">
        <v>3</v>
      </c>
      <c r="O9" s="2" t="n">
        <v>80</v>
      </c>
      <c r="P9" s="2" t="inlineStr">
        <is>
          <t>North America commercial relevance and venture-scale climate thesis.</t>
        </is>
      </c>
      <c r="Q9" s="2" t="inlineStr">
        <is>
          <t>Public investor channel listed</t>
        </is>
      </c>
      <c r="R9" s="2" t="inlineStr">
        <is>
          <t>investors@congruentvc.com</t>
        </is>
      </c>
      <c r="S9" s="3" t="inlineStr">
        <is>
          <t>https://www.congruentvc.com/thinking</t>
        </is>
      </c>
      <c r="T9" s="2" t="inlineStr">
        <is>
          <t>Not publicly confirmed; request current terms</t>
        </is>
      </c>
      <c r="U9" s="2" t="inlineStr">
        <is>
          <t>Request seed screening with a focused CK/ESG wedge and 90-day pilot milestones.</t>
        </is>
      </c>
      <c r="V9" s="2" t="inlineStr">
        <is>
          <t>Official early-stage climate mandate; investor mailbox on Thinking page.</t>
        </is>
      </c>
      <c r="W9" s="3" t="inlineStr">
        <is>
          <t>https://www.congruentvc.com/</t>
        </is>
      </c>
      <c r="X9" s="4" t="n">
        <v>46301</v>
      </c>
    </row>
    <row r="10" ht="78" customHeight="1">
      <c r="A10" s="2" t="inlineStr">
        <is>
          <t>CC-009</t>
        </is>
      </c>
      <c r="B10" s="2" t="inlineStr">
        <is>
          <t>USA</t>
        </is>
      </c>
      <c r="C10" s="2" t="n">
        <v>9</v>
      </c>
      <c r="D10" s="2" t="inlineStr">
        <is>
          <t>Elemental Impact</t>
        </is>
      </c>
      <c r="E10" s="2" t="inlineStr">
        <is>
          <t>Catalytic investment</t>
        </is>
      </c>
      <c r="F10" s="2" t="inlineStr">
        <is>
          <t>Investment; terms vary by track</t>
        </is>
      </c>
      <c r="G10" s="2" t="inlineStr">
        <is>
          <t>Buildings / industry / water / agriculture / data centers</t>
        </is>
      </c>
      <c r="H10" s="2" t="inlineStr">
        <is>
          <t>Pre-seed through later rounds</t>
        </is>
      </c>
      <c r="I10" s="2" t="inlineStr">
        <is>
          <t>Contact now</t>
        </is>
      </c>
      <c r="J10" s="2" t="inlineStr">
        <is>
          <t>Medium</t>
        </is>
      </c>
      <c r="K10" s="2" t="inlineStr">
        <is>
          <t>Low to medium / competitive</t>
        </is>
      </c>
      <c r="L10" s="2" t="n">
        <v>5</v>
      </c>
      <c r="M10" s="2" t="n">
        <v>3</v>
      </c>
      <c r="N10" s="2" t="n">
        <v>3</v>
      </c>
      <c r="O10" s="2" t="n">
        <v>80</v>
      </c>
      <c r="P10" s="2" t="inlineStr">
        <is>
          <t>Select Strategy track for current stage; verify full-time team expectations; contractors may not qualify.</t>
        </is>
      </c>
      <c r="Q10" s="2" t="inlineStr">
        <is>
          <t>Apply route listed; current allocation unconfirmed</t>
        </is>
      </c>
      <c r="R10" s="2" t="inlineStr">
        <is>
          <t>apply@elementalimpact.com</t>
        </is>
      </c>
      <c r="S10" s="3" t="inlineStr">
        <is>
          <t>https://elementalimpact.com/funding-opportunities/apply/</t>
        </is>
      </c>
      <c r="T10" s="2" t="inlineStr">
        <is>
          <t>Not publicly confirmed; request current terms</t>
        </is>
      </c>
      <c r="U10" s="2" t="inlineStr">
        <is>
          <t>Ask Strategy track fit for a pre-revenue, consultant-led team before full application.</t>
        </is>
      </c>
      <c r="V10" s="2" t="inlineStr">
        <is>
          <t>Open application covers pre-seed to Series C and target sectors.</t>
        </is>
      </c>
      <c r="W10" s="3" t="inlineStr">
        <is>
          <t>https://elementalimpact.com/funding-opportunities/apply/</t>
        </is>
      </c>
      <c r="X10" s="4" t="n">
        <v>46301</v>
      </c>
    </row>
    <row r="11" ht="78" customHeight="1">
      <c r="A11" s="2" t="inlineStr">
        <is>
          <t>CC-010</t>
        </is>
      </c>
      <c r="B11" s="2" t="inlineStr">
        <is>
          <t>USA</t>
        </is>
      </c>
      <c r="C11" s="2" t="n">
        <v>10</v>
      </c>
      <c r="D11" s="2" t="inlineStr">
        <is>
          <t>Cleantech Open</t>
        </is>
      </c>
      <c r="E11" s="2" t="inlineStr">
        <is>
          <t>Accelerator</t>
        </is>
      </c>
      <c r="F11" s="2" t="inlineStr">
        <is>
          <t>Mentoring / competition; not guaranteed grant</t>
        </is>
      </c>
      <c r="G11" s="2" t="inlineStr">
        <is>
          <t>Energy / buildings / industrial</t>
        </is>
      </c>
      <c r="H11" s="2" t="inlineStr">
        <is>
          <t>Early-stage teams</t>
        </is>
      </c>
      <c r="I11" s="2" t="inlineStr">
        <is>
          <t>Contact now</t>
        </is>
      </c>
      <c r="J11" s="2" t="inlineStr">
        <is>
          <t>High</t>
        </is>
      </c>
      <c r="K11" s="2" t="inlineStr">
        <is>
          <t>No direct cash confirmed</t>
        </is>
      </c>
      <c r="L11" s="2" t="n">
        <v>4</v>
      </c>
      <c r="M11" s="2" t="n">
        <v>4</v>
      </c>
      <c r="N11" s="2" t="n">
        <v>4</v>
      </c>
      <c r="O11" s="2" t="n">
        <v>80</v>
      </c>
      <c r="P11" s="2" t="inlineStr">
        <is>
          <t>Check next cohort dates, participation fees and geographic track.</t>
        </is>
      </c>
      <c r="Q11" s="2" t="inlineStr">
        <is>
          <t>2026 programme page; next intake unconfirmed</t>
        </is>
      </c>
      <c r="R11" s="2" t="inlineStr">
        <is>
          <t>contact@cleantechopen.org</t>
        </is>
      </c>
      <c r="S11" s="3" t="inlineStr">
        <is>
          <t>https://www.cleantechopen.org/en/page/2026-cto-accelerator-en</t>
        </is>
      </c>
      <c r="T11" s="2" t="inlineStr">
        <is>
          <t>Not publicly confirmed; request current terms</t>
        </is>
      </c>
      <c r="U11" s="2" t="inlineStr">
        <is>
          <t>Request next cohort and Northeast mentor introductions; lead with quantified conservation.</t>
        </is>
      </c>
      <c r="V11" s="2" t="inlineStr">
        <is>
          <t>Official cohort page gives fit-enquiry email.</t>
        </is>
      </c>
      <c r="W11" s="3" t="inlineStr">
        <is>
          <t>https://www.cleantechopen.org/en/page/2026-cto-accelerator-en</t>
        </is>
      </c>
      <c r="X11" s="4" t="n">
        <v>46301</v>
      </c>
    </row>
    <row r="12" ht="78" customHeight="1">
      <c r="A12" s="2" t="inlineStr">
        <is>
          <t>CC-011</t>
        </is>
      </c>
      <c r="B12" s="2" t="inlineStr">
        <is>
          <t>USA</t>
        </is>
      </c>
      <c r="C12" s="2" t="n">
        <v>11</v>
      </c>
      <c r="D12" s="2" t="inlineStr">
        <is>
          <t>NJIT industry research</t>
        </is>
      </c>
      <c r="E12" s="2" t="inlineStr">
        <is>
          <t>Academia</t>
        </is>
      </c>
      <c r="F12" s="2" t="inlineStr">
        <is>
          <t>Joint research / licensing / validation</t>
        </is>
      </c>
      <c r="G12" s="2" t="inlineStr">
        <is>
          <t>AI / IoT / buildings / healthcare</t>
        </is>
      </c>
      <c r="H12" s="2" t="inlineStr">
        <is>
          <t>Industry partnership; not a seed investment</t>
        </is>
      </c>
      <c r="I12" s="2" t="inlineStr">
        <is>
          <t>Contact now</t>
        </is>
      </c>
      <c r="J12" s="2" t="inlineStr">
        <is>
          <t>High</t>
        </is>
      </c>
      <c r="K12" s="2" t="inlineStr">
        <is>
          <t>No direct cash confirmed</t>
        </is>
      </c>
      <c r="L12" s="2" t="n">
        <v>4</v>
      </c>
      <c r="M12" s="2" t="n">
        <v>4</v>
      </c>
      <c r="N12" s="2" t="n">
        <v>4</v>
      </c>
      <c r="O12" s="2" t="n">
        <v>80</v>
      </c>
      <c r="P12" s="2" t="inlineStr">
        <is>
          <t>Agree faculty scope, budget, IP and data terms.</t>
        </is>
      </c>
      <c r="Q12" s="2" t="inlineStr">
        <is>
          <t>Industry contact published</t>
        </is>
      </c>
      <c r="R12" s="2" t="inlineStr">
        <is>
          <t>in49@njit.edu | +1 973-642-4301</t>
        </is>
      </c>
      <c r="S12" s="3" t="inlineStr">
        <is>
          <t>https://research.njit.edu/industry</t>
        </is>
      </c>
      <c r="T12" s="2" t="inlineStr">
        <is>
          <t>Not publicly confirmed; request current terms</t>
        </is>
      </c>
      <c r="U12" s="2" t="inlineStr">
        <is>
          <t>Request research partner for sensor reliability and digital-twin verification.</t>
        </is>
      </c>
      <c r="V12" s="2" t="inlineStr">
        <is>
          <t>Industry partnerships and campus incubation resources described.</t>
        </is>
      </c>
      <c r="W12" s="3" t="inlineStr">
        <is>
          <t>https://research.njit.edu/forindustry</t>
        </is>
      </c>
      <c r="X12" s="4" t="n">
        <v>46301</v>
      </c>
    </row>
    <row r="13" ht="78" customHeight="1">
      <c r="A13" s="2" t="inlineStr">
        <is>
          <t>CC-012</t>
        </is>
      </c>
      <c r="B13" s="2" t="inlineStr">
        <is>
          <t>USA</t>
        </is>
      </c>
      <c r="C13" s="2" t="n">
        <v>12</v>
      </c>
      <c r="D13" s="2" t="inlineStr">
        <is>
          <t>Digital Twin Consortium</t>
        </is>
      </c>
      <c r="E13" s="2" t="inlineStr">
        <is>
          <t>Industry consortium</t>
        </is>
      </c>
      <c r="F13" s="2" t="inlineStr">
        <is>
          <t>Technical ecosystem / partner pilots</t>
        </is>
      </c>
      <c r="G13" s="2" t="inlineStr">
        <is>
          <t>Industry / buildings / data centers</t>
        </is>
      </c>
      <c r="H13" s="2" t="inlineStr">
        <is>
          <t>Membership open to organizations</t>
        </is>
      </c>
      <c r="I13" s="2" t="inlineStr">
        <is>
          <t>Contact now</t>
        </is>
      </c>
      <c r="J13" s="2" t="inlineStr">
        <is>
          <t>High</t>
        </is>
      </c>
      <c r="K13" s="2" t="inlineStr">
        <is>
          <t>No direct cash confirmed</t>
        </is>
      </c>
      <c r="L13" s="2" t="n">
        <v>4</v>
      </c>
      <c r="M13" s="2" t="n">
        <v>4</v>
      </c>
      <c r="N13" s="2" t="n">
        <v>4</v>
      </c>
      <c r="O13" s="2" t="n">
        <v>80</v>
      </c>
      <c r="P13" s="2" t="inlineStr">
        <is>
          <t>Membership fees; require clear technical contribution. IIC now integrated into DTC.</t>
        </is>
      </c>
      <c r="Q13" s="2" t="inlineStr">
        <is>
          <t>Membership inquiry route live</t>
        </is>
      </c>
      <c r="R13" s="2" t="inlineStr">
        <is>
          <t>info@digitaltwinconsortium.org | +1 781-444-0404</t>
        </is>
      </c>
      <c r="S13" s="3" t="inlineStr">
        <is>
          <t>https://www.digitaltwinconsortium.org/contact-us/</t>
        </is>
      </c>
      <c r="T13" s="2" t="inlineStr">
        <is>
          <t>Not publicly confirmed; request current terms</t>
        </is>
      </c>
      <c r="U13" s="2" t="inlineStr">
        <is>
          <t>Ask startup membership terms and energy/buildings testbed collaboration.</t>
        </is>
      </c>
      <c r="V13" s="2" t="inlineStr">
        <is>
          <t>Open membership with revenue-based pricing; current DTC route replaces IIC.</t>
        </is>
      </c>
      <c r="W13" s="3" t="inlineStr">
        <is>
          <t>https://www.digitaltwinconsortium.org/dtcmembersearch/</t>
        </is>
      </c>
      <c r="X13" s="4" t="n">
        <v>46301</v>
      </c>
    </row>
    <row r="14" ht="78" customHeight="1">
      <c r="A14" s="2" t="inlineStr">
        <is>
          <t>CC-013</t>
        </is>
      </c>
      <c r="B14" s="2" t="inlineStr">
        <is>
          <t>USA</t>
        </is>
      </c>
      <c r="C14" s="2" t="n">
        <v>13</v>
      </c>
      <c r="D14" s="2" t="inlineStr">
        <is>
          <t>NJ CSIT Clean Tech R&amp;D Voucher</t>
        </is>
      </c>
      <c r="E14" s="2" t="inlineStr">
        <is>
          <t>Government grant / voucher</t>
        </is>
      </c>
      <c r="F14" s="2" t="inlineStr">
        <is>
          <t>Restricted R&amp;D facility voucher</t>
        </is>
      </c>
      <c r="G14" s="2" t="inlineStr">
        <is>
          <t>Energy / green buildings / water / agriculture</t>
        </is>
      </c>
      <c r="H14" s="2" t="inlineStr">
        <is>
          <t>Early-stage; revenue cap</t>
        </is>
      </c>
      <c r="I14" s="2" t="inlineStr">
        <is>
          <t>Eligibility gate first</t>
        </is>
      </c>
      <c r="J14" s="2" t="inlineStr">
        <is>
          <t>Very low</t>
        </is>
      </c>
      <c r="K14" s="2" t="inlineStr">
        <is>
          <t>No unrestricted cash</t>
        </is>
      </c>
      <c r="L14" s="2" t="n">
        <v>5</v>
      </c>
      <c r="M14" s="2" t="n">
        <v>1</v>
      </c>
      <c r="N14" s="2" t="n">
        <v>2</v>
      </c>
      <c r="O14" s="2" t="n">
        <v>64</v>
      </c>
      <c r="P14" s="2" t="inlineStr">
        <is>
          <t>50%+ cumulative work hours in NJ, including contractors; one full-time worker; tax clearance. India-based delivery suggests likely current mismatch.</t>
        </is>
      </c>
      <c r="Q14" s="2" t="inlineStr">
        <is>
          <t>Official page states applications open</t>
        </is>
      </c>
      <c r="R14" s="2" t="inlineStr">
        <is>
          <t>csitvoucher@njcsit.gov</t>
        </is>
      </c>
      <c r="S14" s="3" t="inlineStr">
        <is>
          <t>https://www.njcsit.gov/clean-tech-research-and-development-rd-voucher-program-round-3/</t>
        </is>
      </c>
      <c r="T14" s="2" t="inlineStr">
        <is>
          <t>Up to $40,000 in vouchers over 12 months; restricted use.</t>
        </is>
      </c>
      <c r="U14" s="2" t="inlineStr">
        <is>
          <t>Seek written eligibility screening before preparing application.</t>
        </is>
      </c>
      <c r="V14" s="2" t="inlineStr">
        <is>
          <t>NJ work-hour requirement includes founders and contractors.</t>
        </is>
      </c>
      <c r="W14" s="3" t="inlineStr">
        <is>
          <t>https://www.njcsit.gov/clean-tech-research-and-development-rd-voucher-program-round-3/</t>
        </is>
      </c>
      <c r="X14" s="4" t="n">
        <v>46301</v>
      </c>
    </row>
    <row r="15" ht="78" customHeight="1">
      <c r="A15" s="2" t="inlineStr">
        <is>
          <t>CC-014</t>
        </is>
      </c>
      <c r="B15" s="2" t="inlineStr">
        <is>
          <t>USA</t>
        </is>
      </c>
      <c r="C15" s="2" t="n">
        <v>14</v>
      </c>
      <c r="D15" s="2" t="inlineStr">
        <is>
          <t>NJ CSIT Clean Tech Seed Grant</t>
        </is>
      </c>
      <c r="E15" s="2" t="inlineStr">
        <is>
          <t>Government grant</t>
        </is>
      </c>
      <c r="F15" s="2" t="inlineStr">
        <is>
          <t>Restricted R&amp;D grant</t>
        </is>
      </c>
      <c r="G15" s="2" t="inlineStr">
        <is>
          <t>Clean energy / climate</t>
        </is>
      </c>
      <c r="H15" s="2" t="inlineStr">
        <is>
          <t>Early-stage programme</t>
        </is>
      </c>
      <c r="I15" s="2" t="inlineStr">
        <is>
          <t>Watch next intake</t>
        </is>
      </c>
      <c r="J15" s="2" t="inlineStr">
        <is>
          <t>Very low</t>
        </is>
      </c>
      <c r="K15" s="2" t="inlineStr">
        <is>
          <t>Very low until gates cleared</t>
        </is>
      </c>
      <c r="L15" s="2" t="n">
        <v>5</v>
      </c>
      <c r="M15" s="2" t="n">
        <v>1</v>
      </c>
      <c r="N15" s="2" t="n">
        <v>2</v>
      </c>
      <c r="O15" s="2" t="n">
        <v>64</v>
      </c>
      <c r="P15" s="2" t="inlineStr">
        <is>
          <t>NJ operational eligibility needs current-round verification; NJ incorporation alone insufficient.</t>
        </is>
      </c>
      <c r="Q15" s="2" t="inlineStr">
        <is>
          <t>Round 4 deadline July 11 2025 passed; next round unverified</t>
        </is>
      </c>
      <c r="R15" s="2" t="inlineStr">
        <is>
          <t>csitcleantech@njcsit.gov</t>
        </is>
      </c>
      <c r="S15" s="3" t="inlineStr">
        <is>
          <t>https://www.njcsit.gov/</t>
        </is>
      </c>
      <c r="T15" s="2" t="inlineStr">
        <is>
          <t>Prior round up to $75,000; not a current offer.</t>
        </is>
      </c>
      <c r="U15" s="2" t="inlineStr">
        <is>
          <t>Ask next round timing and NJ operating requirements; do not treat as open.</t>
        </is>
      </c>
      <c r="V15" s="2" t="inlineStr">
        <is>
          <t>Official newsletter records Round 4 amount and closed deadline.</t>
        </is>
      </c>
      <c r="W15" s="3" t="inlineStr">
        <is>
          <t>https://www.njeda.gov/wp-content/uploads/2025/06/NJEDA-Clean-Energy-Newsletter-Q2-2025.pdf</t>
        </is>
      </c>
      <c r="X15" s="4" t="n">
        <v>46301</v>
      </c>
    </row>
    <row r="16" ht="78" customHeight="1">
      <c r="A16" s="2" t="inlineStr">
        <is>
          <t>CC-015</t>
        </is>
      </c>
      <c r="B16" s="2" t="inlineStr">
        <is>
          <t>USA</t>
        </is>
      </c>
      <c r="C16" s="2" t="n">
        <v>15</v>
      </c>
      <c r="D16" s="2" t="inlineStr">
        <is>
          <t>NSF America's Seed Fund</t>
        </is>
      </c>
      <c r="E16" s="2" t="inlineStr">
        <is>
          <t>Government grant</t>
        </is>
      </c>
      <c r="F16" s="2" t="inlineStr">
        <is>
          <t>SBIR / STTR R&amp;D grant</t>
        </is>
      </c>
      <c r="G16" s="2" t="inlineStr">
        <is>
          <t>Deep AI / sensor technology / industrial</t>
        </is>
      </c>
      <c r="H16" s="2" t="inlineStr">
        <is>
          <t>Pre-revenue possible; high-risk R&amp;D</t>
        </is>
      </c>
      <c r="I16" s="2" t="inlineStr">
        <is>
          <t>Eligibility gate first</t>
        </is>
      </c>
      <c r="J16" s="2" t="inlineStr">
        <is>
          <t>Very low</t>
        </is>
      </c>
      <c r="K16" s="2" t="inlineStr">
        <is>
          <t>Very low until gates cleared</t>
        </is>
      </c>
      <c r="L16" s="2" t="n">
        <v>5</v>
      </c>
      <c r="M16" s="2" t="n">
        <v>1</v>
      </c>
      <c r="N16" s="2" t="n">
        <v>2</v>
      </c>
      <c r="O16" s="2" t="n">
        <v>64</v>
      </c>
      <c r="P16" s="2" t="inlineStr">
        <is>
          <t>US ownership/control, PI employment and domestic R&amp;D requirements; founder 40% alone does not prove majority eligibility; offshore team is material gate.</t>
        </is>
      </c>
      <c r="Q16" s="2" t="inlineStr">
        <is>
          <t>2026 relaunch official; confirm live solicitation deadline</t>
        </is>
      </c>
      <c r="R16" s="2" t="inlineStr">
        <is>
          <t>Project Pitch portal / programme team</t>
        </is>
      </c>
      <c r="S16" s="3" t="inlineStr">
        <is>
          <t>https://seedfund.nsf.gov/apply/</t>
        </is>
      </c>
      <c r="T16" s="2" t="inlineStr">
        <is>
          <t>Not publicly confirmed; request current terms</t>
        </is>
      </c>
      <c r="U16" s="2" t="inlineStr">
        <is>
          <t>Screen cap table, US R&amp;D and technical novelty before any Project Pitch.</t>
        </is>
      </c>
      <c r="V16" s="2" t="inlineStr">
        <is>
          <t>Official eligibility and application requirements available.</t>
        </is>
      </c>
      <c r="W16" s="3" t="inlineStr">
        <is>
          <t>https://seedfund.nsf.gov/solicitation-eligibility/</t>
        </is>
      </c>
      <c r="X16" s="4" t="n">
        <v>46301</v>
      </c>
    </row>
    <row r="17" ht="78" customHeight="1">
      <c r="A17" s="2" t="inlineStr">
        <is>
          <t>CC-016</t>
        </is>
      </c>
      <c r="B17" s="2" t="inlineStr">
        <is>
          <t>USA</t>
        </is>
      </c>
      <c r="C17" s="2" t="n">
        <v>16</v>
      </c>
      <c r="D17" s="2" t="inlineStr">
        <is>
          <t>DOE SBIR / STTR</t>
        </is>
      </c>
      <c r="E17" s="2" t="inlineStr">
        <is>
          <t>Government grant</t>
        </is>
      </c>
      <c r="F17" s="2" t="inlineStr">
        <is>
          <t>Topic-specific R&amp;D grant</t>
        </is>
      </c>
      <c r="G17" s="2" t="inlineStr">
        <is>
          <t>Energy / utilities / industrial efficiency</t>
        </is>
      </c>
      <c r="H17" s="2" t="inlineStr">
        <is>
          <t>Phase I candidates; topic dependent</t>
        </is>
      </c>
      <c r="I17" s="2" t="inlineStr">
        <is>
          <t>Eligibility gate first</t>
        </is>
      </c>
      <c r="J17" s="2" t="inlineStr">
        <is>
          <t>Very low</t>
        </is>
      </c>
      <c r="K17" s="2" t="inlineStr">
        <is>
          <t>Very low until gates cleared</t>
        </is>
      </c>
      <c r="L17" s="2" t="n">
        <v>5</v>
      </c>
      <c r="M17" s="2" t="n">
        <v>1</v>
      </c>
      <c r="N17" s="2" t="n">
        <v>2</v>
      </c>
      <c r="O17" s="2" t="n">
        <v>64</v>
      </c>
      <c r="P17" s="2" t="inlineStr">
        <is>
          <t>US ownership/control and domestic R&amp;D; Phase II listings are not first-time Phase I opportunities.</t>
        </is>
      </c>
      <c r="Q17" s="2" t="inlineStr">
        <is>
          <t>Official programme active; relevant Phase I call unverified</t>
        </is>
      </c>
      <c r="R17" s="2" t="inlineStr">
        <is>
          <t>DOE SBIR programme via official page</t>
        </is>
      </c>
      <c r="S17" s="3" t="inlineStr">
        <is>
          <t>https://www.energy.gov/technologycommercialization/doe-small-business-innovation-research-sbir-and-small-business</t>
        </is>
      </c>
      <c r="T17" s="2" t="inlineStr">
        <is>
          <t>Not publicly confirmed; request current terms</t>
        </is>
      </c>
      <c r="U17" s="2" t="inlineStr">
        <is>
          <t>Request topic-fit guidance for conservation AIoT; resolve ownership and domestic work first.</t>
        </is>
      </c>
      <c r="V17" s="2" t="inlineStr">
        <is>
          <t>DOE publishes current programme and funding updates.</t>
        </is>
      </c>
      <c r="W17" s="3" t="inlineStr">
        <is>
          <t>https://www.energy.gov/technologycommercialization/doe-small-business-innovation-research-sbir-and-small-business</t>
        </is>
      </c>
      <c r="X17" s="4" t="n">
        <v>46301</v>
      </c>
    </row>
    <row r="18" ht="78" customHeight="1">
      <c r="A18" s="2" t="inlineStr">
        <is>
          <t>CC-017</t>
        </is>
      </c>
      <c r="B18" s="2" t="inlineStr">
        <is>
          <t>USA</t>
        </is>
      </c>
      <c r="C18" s="2" t="n">
        <v>17</v>
      </c>
      <c r="D18" s="2" t="inlineStr">
        <is>
          <t>Amazon Sustainability Accelerator Climate Tech</t>
        </is>
      </c>
      <c r="E18" s="2" t="inlineStr">
        <is>
          <t>Corporate accelerator</t>
        </is>
      </c>
      <c r="F18" s="2" t="inlineStr">
        <is>
          <t>Pilots / credits / limited expense support</t>
        </is>
      </c>
      <c r="G18" s="2" t="inlineStr">
        <is>
          <t>Water / AQ / ecological monitoring</t>
        </is>
      </c>
      <c r="H18" s="2" t="inlineStr">
        <is>
          <t>Prototype / pilot-ready</t>
        </is>
      </c>
      <c r="I18" s="2" t="inlineStr">
        <is>
          <t>Watch next intake</t>
        </is>
      </c>
      <c r="J18" s="2" t="inlineStr">
        <is>
          <t>Very low</t>
        </is>
      </c>
      <c r="K18" s="2" t="inlineStr">
        <is>
          <t>No direct cash confirmed</t>
        </is>
      </c>
      <c r="L18" s="2" t="n">
        <v>3</v>
      </c>
      <c r="M18" s="2" t="n">
        <v>1</v>
      </c>
      <c r="N18" s="2" t="n">
        <v>2</v>
      </c>
      <c r="O18" s="2" t="n">
        <v>44</v>
      </c>
      <c r="P18" s="2" t="inlineStr">
        <is>
          <t>European programme scope; 2026 ecological focus; geographic fit must be screened.</t>
        </is>
      </c>
      <c r="Q18" s="2" t="inlineStr">
        <is>
          <t>2026 applications closed July; cohort selected</t>
        </is>
      </c>
      <c r="R18" s="2" t="inlineStr">
        <is>
          <t>Programme team via official page</t>
        </is>
      </c>
      <c r="S18" s="3" t="inlineStr">
        <is>
          <t>https://sustainability.aboutamazon.com/sustainability-accelerator-climate-tech</t>
        </is>
      </c>
      <c r="T18" s="2" t="inlineStr">
        <is>
          <t>2026 programme listed $10,000 eligible AWS credits; non-cash.</t>
        </is>
      </c>
      <c r="U18" s="2" t="inlineStr">
        <is>
          <t>Monitor next cycle; ask geographic eligibility. Do not book this as AWS grant revenue.</t>
        </is>
      </c>
      <c r="V18" s="2" t="inlineStr">
        <is>
          <t>Official cohort announcement confirms selection after applications closed.</t>
        </is>
      </c>
      <c r="W18" s="3" t="inlineStr">
        <is>
          <t>https://www.aboutamazon.eu/news/sustainability/sustainability-accelerator-climate-tech-programme-2026</t>
        </is>
      </c>
      <c r="X18" s="4" t="n">
        <v>46301</v>
      </c>
    </row>
    <row r="19" ht="78" customHeight="1">
      <c r="A19" s="2" t="inlineStr">
        <is>
          <t>CC-018</t>
        </is>
      </c>
      <c r="B19" s="2" t="inlineStr">
        <is>
          <t>USA</t>
        </is>
      </c>
      <c r="C19" s="2" t="n">
        <v>18</v>
      </c>
      <c r="D19" s="2" t="inlineStr">
        <is>
          <t>Vista Equity Partners</t>
        </is>
      </c>
      <c r="E19" s="2" t="inlineStr">
        <is>
          <t>PE</t>
        </is>
      </c>
      <c r="F19" s="2" t="inlineStr">
        <is>
          <t>Growth / buyout equity; portfolio commercial route</t>
        </is>
      </c>
      <c r="G19" s="2" t="inlineStr">
        <is>
          <t>Enterprise software / AI</t>
        </is>
      </c>
      <c r="H19" s="2" t="inlineStr">
        <is>
          <t>Current direct capital fit very low (analyst view)</t>
        </is>
      </c>
      <c r="I19" s="2" t="inlineStr">
        <is>
          <t>Later / portfolio route</t>
        </is>
      </c>
      <c r="J19" s="2" t="inlineStr">
        <is>
          <t>Very low</t>
        </is>
      </c>
      <c r="K19" s="2" t="inlineStr">
        <is>
          <t>Very low / defer</t>
        </is>
      </c>
      <c r="L19" s="2" t="n">
        <v>3</v>
      </c>
      <c r="M19" s="2" t="n">
        <v>1</v>
      </c>
      <c r="N19" s="2" t="n">
        <v>1</v>
      </c>
      <c r="O19" s="2" t="n">
        <v>40</v>
      </c>
      <c r="P19" s="2" t="inlineStr">
        <is>
          <t>Mature software investment platform; no verified pre-revenue offer.</t>
        </is>
      </c>
      <c r="Q19" s="2" t="inlineStr">
        <is>
          <t>Official PE and contact pages</t>
        </is>
      </c>
      <c r="R19" s="2" t="inlineStr">
        <is>
          <t>Business inquiry via official contact page</t>
        </is>
      </c>
      <c r="S19" s="3" t="inlineStr">
        <is>
          <t>https://www.vistaequitypartners.com/contact/</t>
        </is>
      </c>
      <c r="T19" s="2" t="inlineStr">
        <is>
          <t>Not publicly confirmed; request current terms</t>
        </is>
      </c>
      <c r="U19" s="2" t="inlineStr">
        <is>
          <t>Defer direct raise; seek portfolio-company pilot or integration introduction.</t>
        </is>
      </c>
      <c r="V19" s="2" t="inlineStr">
        <is>
          <t>Authentic enterprise-software PE platform.</t>
        </is>
      </c>
      <c r="W19" s="3" t="inlineStr">
        <is>
          <t>https://www.vistaequitypartners.com/private-equity/</t>
        </is>
      </c>
      <c r="X19" s="4" t="n">
        <v>46301</v>
      </c>
    </row>
  </sheetData>
  <autoFilter ref="A1:X19"/>
  <hyperlinks>
    <hyperlink xmlns:r="http://schemas.openxmlformats.org/officeDocument/2006/relationships" ref="S2" r:id="rId1"/>
    <hyperlink xmlns:r="http://schemas.openxmlformats.org/officeDocument/2006/relationships" ref="W2" r:id="rId2"/>
    <hyperlink xmlns:r="http://schemas.openxmlformats.org/officeDocument/2006/relationships" ref="S3" r:id="rId3"/>
    <hyperlink xmlns:r="http://schemas.openxmlformats.org/officeDocument/2006/relationships" ref="W3" r:id="rId4"/>
    <hyperlink xmlns:r="http://schemas.openxmlformats.org/officeDocument/2006/relationships" ref="S4" r:id="rId5"/>
    <hyperlink xmlns:r="http://schemas.openxmlformats.org/officeDocument/2006/relationships" ref="W4" r:id="rId6"/>
    <hyperlink xmlns:r="http://schemas.openxmlformats.org/officeDocument/2006/relationships" ref="S5" r:id="rId7"/>
    <hyperlink xmlns:r="http://schemas.openxmlformats.org/officeDocument/2006/relationships" ref="W5" r:id="rId8"/>
    <hyperlink xmlns:r="http://schemas.openxmlformats.org/officeDocument/2006/relationships" ref="S6" r:id="rId9"/>
    <hyperlink xmlns:r="http://schemas.openxmlformats.org/officeDocument/2006/relationships" ref="W6" r:id="rId10"/>
    <hyperlink xmlns:r="http://schemas.openxmlformats.org/officeDocument/2006/relationships" ref="S7" r:id="rId11"/>
    <hyperlink xmlns:r="http://schemas.openxmlformats.org/officeDocument/2006/relationships" ref="W7" r:id="rId12"/>
    <hyperlink xmlns:r="http://schemas.openxmlformats.org/officeDocument/2006/relationships" ref="S8" r:id="rId13"/>
    <hyperlink xmlns:r="http://schemas.openxmlformats.org/officeDocument/2006/relationships" ref="W8" r:id="rId14"/>
    <hyperlink xmlns:r="http://schemas.openxmlformats.org/officeDocument/2006/relationships" ref="S9" r:id="rId15"/>
    <hyperlink xmlns:r="http://schemas.openxmlformats.org/officeDocument/2006/relationships" ref="W9" r:id="rId16"/>
    <hyperlink xmlns:r="http://schemas.openxmlformats.org/officeDocument/2006/relationships" ref="S10" r:id="rId17"/>
    <hyperlink xmlns:r="http://schemas.openxmlformats.org/officeDocument/2006/relationships" ref="W10" r:id="rId18"/>
    <hyperlink xmlns:r="http://schemas.openxmlformats.org/officeDocument/2006/relationships" ref="S11" r:id="rId19"/>
    <hyperlink xmlns:r="http://schemas.openxmlformats.org/officeDocument/2006/relationships" ref="W11" r:id="rId20"/>
    <hyperlink xmlns:r="http://schemas.openxmlformats.org/officeDocument/2006/relationships" ref="S12" r:id="rId21"/>
    <hyperlink xmlns:r="http://schemas.openxmlformats.org/officeDocument/2006/relationships" ref="W12" r:id="rId22"/>
    <hyperlink xmlns:r="http://schemas.openxmlformats.org/officeDocument/2006/relationships" ref="S13" r:id="rId23"/>
    <hyperlink xmlns:r="http://schemas.openxmlformats.org/officeDocument/2006/relationships" ref="W13" r:id="rId24"/>
    <hyperlink xmlns:r="http://schemas.openxmlformats.org/officeDocument/2006/relationships" ref="S14" r:id="rId25"/>
    <hyperlink xmlns:r="http://schemas.openxmlformats.org/officeDocument/2006/relationships" ref="W14" r:id="rId26"/>
    <hyperlink xmlns:r="http://schemas.openxmlformats.org/officeDocument/2006/relationships" ref="S15" r:id="rId27"/>
    <hyperlink xmlns:r="http://schemas.openxmlformats.org/officeDocument/2006/relationships" ref="W15" r:id="rId28"/>
    <hyperlink xmlns:r="http://schemas.openxmlformats.org/officeDocument/2006/relationships" ref="S16" r:id="rId29"/>
    <hyperlink xmlns:r="http://schemas.openxmlformats.org/officeDocument/2006/relationships" ref="W16" r:id="rId30"/>
    <hyperlink xmlns:r="http://schemas.openxmlformats.org/officeDocument/2006/relationships" ref="S17" r:id="rId31"/>
    <hyperlink xmlns:r="http://schemas.openxmlformats.org/officeDocument/2006/relationships" ref="W17" r:id="rId32"/>
    <hyperlink xmlns:r="http://schemas.openxmlformats.org/officeDocument/2006/relationships" ref="S18" r:id="rId33"/>
    <hyperlink xmlns:r="http://schemas.openxmlformats.org/officeDocument/2006/relationships" ref="W18" r:id="rId34"/>
    <hyperlink xmlns:r="http://schemas.openxmlformats.org/officeDocument/2006/relationships" ref="S19" r:id="rId35"/>
    <hyperlink xmlns:r="http://schemas.openxmlformats.org/officeDocument/2006/relationships" ref="W19" r:id="rId36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7"/>
  </tableParts>
</worksheet>
</file>

<file path=xl/worksheets/sheet5.xml><?xml version="1.0" encoding="utf-8"?>
<worksheet xmlns="http://schemas.openxmlformats.org/spreadsheetml/2006/main">
  <sheetPr>
    <tabColor rgb="00007F86"/>
    <outlinePr summaryBelow="1" summaryRight="1"/>
    <pageSetUpPr fitToPage="1"/>
  </sheetPr>
  <dimension ref="A1:X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34" customWidth="1" min="4" max="4"/>
    <col width="26" customWidth="1" min="5" max="5"/>
    <col width="26" customWidth="1" min="6" max="6"/>
    <col width="34" customWidth="1" min="7" max="7"/>
    <col width="3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62" customWidth="1" min="16" max="16"/>
    <col width="45" customWidth="1" min="17" max="17"/>
    <col width="44" customWidth="1" min="18" max="18"/>
    <col width="48" customWidth="1" min="19" max="19"/>
    <col width="45" customWidth="1" min="20" max="20"/>
    <col width="62" customWidth="1" min="21" max="21"/>
    <col width="50" customWidth="1" min="22" max="22"/>
    <col width="48" customWidth="1" min="23" max="23"/>
    <col width="17" customWidth="1" min="24" max="24"/>
  </cols>
  <sheetData>
    <row r="1" ht="32" customHeight="1">
      <c r="A1" s="1" t="inlineStr">
        <is>
          <t>Prospect ID</t>
        </is>
      </c>
      <c r="B1" s="1" t="inlineStr">
        <is>
          <t>Country</t>
        </is>
      </c>
      <c r="C1" s="1" t="inlineStr">
        <is>
          <t>Country rank</t>
        </is>
      </c>
      <c r="D1" s="1" t="inlineStr">
        <is>
          <t>Organization / programme</t>
        </is>
      </c>
      <c r="E1" s="1" t="inlineStr">
        <is>
          <t>Category</t>
        </is>
      </c>
      <c r="F1" s="1" t="inlineStr">
        <is>
          <t>Instrument</t>
        </is>
      </c>
      <c r="G1" s="1" t="inlineStr">
        <is>
          <t>Relevant vertical / product</t>
        </is>
      </c>
      <c r="H1" s="1" t="inlineStr">
        <is>
          <t>Pre-revenue stage evidence</t>
        </is>
      </c>
      <c r="I1" s="1" t="inlineStr">
        <is>
          <t>Route</t>
        </is>
      </c>
      <c r="J1" s="1" t="inlineStr">
        <is>
          <t>Engagement outlook</t>
        </is>
      </c>
      <c r="K1" s="1" t="inlineStr">
        <is>
          <t>Direct cash outlook</t>
        </is>
      </c>
      <c r="L1" s="1" t="inlineStr">
        <is>
          <t>Relevance (1-5)</t>
        </is>
      </c>
      <c r="M1" s="1" t="inlineStr">
        <is>
          <t>Accessibility (1-5)</t>
        </is>
      </c>
      <c r="N1" s="1" t="inlineStr">
        <is>
          <t>Readiness (1-5)</t>
        </is>
      </c>
      <c r="O1" s="1" t="inlineStr">
        <is>
          <t>Priority score /100</t>
        </is>
      </c>
      <c r="P1" s="1" t="inlineStr">
        <is>
          <t>Eligibility / blockers</t>
        </is>
      </c>
      <c r="Q1" s="1" t="inlineStr">
        <is>
          <t>Current status</t>
        </is>
      </c>
      <c r="R1" s="1" t="inlineStr">
        <is>
          <t>Public contact / team</t>
        </is>
      </c>
      <c r="S1" s="1" t="inlineStr">
        <is>
          <t>Contact / apply URL</t>
        </is>
      </c>
      <c r="T1" s="1" t="inlineStr">
        <is>
          <t>Published benefit / terms</t>
        </is>
      </c>
      <c r="U1" s="1" t="inlineStr">
        <is>
          <t>Tailored first ask</t>
        </is>
      </c>
      <c r="V1" s="1" t="inlineStr">
        <is>
          <t>Evidence summary</t>
        </is>
      </c>
      <c r="W1" s="1" t="inlineStr">
        <is>
          <t>Official source URL</t>
        </is>
      </c>
      <c r="X1" s="1" t="inlineStr">
        <is>
          <t>Checked date</t>
        </is>
      </c>
    </row>
    <row r="2" ht="78" customHeight="1">
      <c r="A2" s="2" t="inlineStr">
        <is>
          <t>CC-019</t>
        </is>
      </c>
      <c r="B2" s="2" t="inlineStr">
        <is>
          <t>UAE</t>
        </is>
      </c>
      <c r="C2" s="2" t="n">
        <v>1</v>
      </c>
      <c r="D2" s="2" t="inlineStr">
        <is>
          <t>MBRIF Innovation Accelerator</t>
        </is>
      </c>
      <c r="E2" s="2" t="inlineStr">
        <is>
          <t>Government accelerator</t>
        </is>
      </c>
      <c r="F2" s="2" t="inlineStr">
        <is>
          <t>Non-equity services / market access</t>
        </is>
      </c>
      <c r="G2" s="2" t="inlineStr">
        <is>
          <t>Energy / water / health / technology</t>
        </is>
      </c>
      <c r="H2" s="2" t="inlineStr">
        <is>
          <t>Post-ideation / working prototype</t>
        </is>
      </c>
      <c r="I2" s="2" t="inlineStr">
        <is>
          <t>Contact now</t>
        </is>
      </c>
      <c r="J2" s="2" t="inlineStr">
        <is>
          <t>High</t>
        </is>
      </c>
      <c r="K2" s="2" t="inlineStr">
        <is>
          <t>No direct cash confirmed</t>
        </is>
      </c>
      <c r="L2" s="2" t="n">
        <v>5</v>
      </c>
      <c r="M2" s="2" t="n">
        <v>4</v>
      </c>
      <c r="N2" s="2" t="n">
        <v>4</v>
      </c>
      <c r="O2" s="2" t="n">
        <v>90</v>
      </c>
      <c r="P2" s="2" t="inlineStr">
        <is>
          <t>UAE operation or credible setup plan; verify current cohort.</t>
        </is>
      </c>
      <c r="Q2" s="2" t="inlineStr">
        <is>
          <t>Apply route listed; cohort cutoff unconfirmed</t>
        </is>
      </c>
      <c r="R2" s="2" t="inlineStr">
        <is>
          <t>contact@mbrif.mof.gov.ae</t>
        </is>
      </c>
      <c r="S2" s="3" t="inlineStr">
        <is>
          <t>https://mbrif.ae/faq-2/</t>
        </is>
      </c>
      <c r="T2" s="2" t="inlineStr">
        <is>
          <t>Services and coaching, not an automatic cash grant; guarantee scheme is debt support.</t>
        </is>
      </c>
      <c r="U2" s="2" t="inlineStr">
        <is>
          <t>Ask current intake and energy/water pilot support using YesTechnik UAE entry plan.</t>
        </is>
      </c>
      <c r="V2" s="2" t="inlineStr">
        <is>
          <t>Global innovators accepted; no equity or membership fees; accelerator separate from loan guarantee.</t>
        </is>
      </c>
      <c r="W2" s="3" t="inlineStr">
        <is>
          <t>https://mbrif.ae/faq-2/</t>
        </is>
      </c>
      <c r="X2" s="4" t="n">
        <v>46301</v>
      </c>
    </row>
    <row r="3" ht="78" customHeight="1">
      <c r="A3" s="2" t="inlineStr">
        <is>
          <t>CC-020</t>
        </is>
      </c>
      <c r="B3" s="2" t="inlineStr">
        <is>
          <t>UAE</t>
        </is>
      </c>
      <c r="C3" s="2" t="n">
        <v>2</v>
      </c>
      <c r="D3" s="2" t="inlineStr">
        <is>
          <t>Emirates Green Building Council</t>
        </is>
      </c>
      <c r="E3" s="2" t="inlineStr">
        <is>
          <t>Industry consortium</t>
        </is>
      </c>
      <c r="F3" s="2" t="inlineStr">
        <is>
          <t>Retrofit / hospitality network; no direct grant</t>
        </is>
      </c>
      <c r="G3" s="2" t="inlineStr">
        <is>
          <t>Hospitality / commercial / residential</t>
        </is>
      </c>
      <c r="H3" s="2" t="inlineStr">
        <is>
          <t>Supplier membership access</t>
        </is>
      </c>
      <c r="I3" s="2" t="inlineStr">
        <is>
          <t>Contact now</t>
        </is>
      </c>
      <c r="J3" s="2" t="inlineStr">
        <is>
          <t>High</t>
        </is>
      </c>
      <c r="K3" s="2" t="inlineStr">
        <is>
          <t>No direct cash confirmed</t>
        </is>
      </c>
      <c r="L3" s="2" t="n">
        <v>5</v>
      </c>
      <c r="M3" s="2" t="n">
        <v>4</v>
      </c>
      <c r="N3" s="2" t="n">
        <v>4</v>
      </c>
      <c r="O3" s="2" t="n">
        <v>90</v>
      </c>
      <c r="P3" s="2" t="inlineStr">
        <is>
          <t>Membership fees; programme participation not funding approval.</t>
        </is>
      </c>
      <c r="Q3" s="2" t="inlineStr">
        <is>
          <t>EEP and membership pages live</t>
        </is>
      </c>
      <c r="R3" s="2" t="inlineStr">
        <is>
          <t>EEP / membership team through contact page</t>
        </is>
      </c>
      <c r="S3" s="3" t="inlineStr">
        <is>
          <t>https://emiratesgbc.org/contact-us/</t>
        </is>
      </c>
      <c r="T3" s="2" t="inlineStr">
        <is>
          <t>Not publicly confirmed; request current terms</t>
        </is>
      </c>
      <c r="U3" s="2" t="inlineStr">
        <is>
          <t>Request hotel/building owner introductions for measured energy, comfort and AQ pilot.</t>
        </is>
      </c>
      <c r="V3" s="2" t="inlineStr">
        <is>
          <t>Energy Efficiency Program promotes retrofits; hospitality programmes also described.</t>
        </is>
      </c>
      <c r="W3" s="3" t="inlineStr">
        <is>
          <t>https://emiratesgbc.org/energy-efficiency-program/</t>
        </is>
      </c>
      <c r="X3" s="4" t="n">
        <v>46301</v>
      </c>
    </row>
    <row r="4" ht="78" customHeight="1">
      <c r="A4" s="2" t="inlineStr">
        <is>
          <t>CC-021</t>
        </is>
      </c>
      <c r="B4" s="2" t="inlineStr">
        <is>
          <t>UAE</t>
        </is>
      </c>
      <c r="C4" s="2" t="n">
        <v>3</v>
      </c>
      <c r="D4" s="2" t="inlineStr">
        <is>
          <t>NYU Abu Dhabi / startAD</t>
        </is>
      </c>
      <c r="E4" s="2" t="inlineStr">
        <is>
          <t>Academia / accelerator</t>
        </is>
      </c>
      <c r="F4" s="2" t="inlineStr">
        <is>
          <t>Corporate pilot matching / venture support</t>
        </is>
      </c>
      <c r="G4" s="2" t="inlineStr">
        <is>
          <t>AI / industry / health / sustainability</t>
        </is>
      </c>
      <c r="H4" s="2" t="inlineStr">
        <is>
          <t>Startup programmes; cohort dependent</t>
        </is>
      </c>
      <c r="I4" s="2" t="inlineStr">
        <is>
          <t>Contact now</t>
        </is>
      </c>
      <c r="J4" s="2" t="inlineStr">
        <is>
          <t>High</t>
        </is>
      </c>
      <c r="K4" s="2" t="inlineStr">
        <is>
          <t>No direct cash confirmed</t>
        </is>
      </c>
      <c r="L4" s="2" t="n">
        <v>5</v>
      </c>
      <c r="M4" s="2" t="n">
        <v>4</v>
      </c>
      <c r="N4" s="2" t="n">
        <v>4</v>
      </c>
      <c r="O4" s="2" t="n">
        <v>90</v>
      </c>
      <c r="P4" s="2" t="inlineStr">
        <is>
          <t>Programme-specific sector and founder conditions; no general university grant assumed.</t>
        </is>
      </c>
      <c r="Q4" s="2" t="inlineStr">
        <is>
          <t>Programme directory and contact live</t>
        </is>
      </c>
      <c r="R4" s="2" t="inlineStr">
        <is>
          <t>startAD@nyu.edu</t>
        </is>
      </c>
      <c r="S4" s="3" t="inlineStr">
        <is>
          <t>https://startad.ae/contact/</t>
        </is>
      </c>
      <c r="T4" s="2" t="inlineStr">
        <is>
          <t>Not publicly confirmed; request current terms</t>
        </is>
      </c>
      <c r="U4" s="2" t="inlineStr">
        <is>
          <t>Request next relevant corporate sprint and university-supported validation route.</t>
        </is>
      </c>
      <c r="V4" s="2" t="inlineStr">
        <is>
          <t>NYUAD-anchored ecosystem lists corporate sprint and AI programmes.</t>
        </is>
      </c>
      <c r="W4" s="3" t="inlineStr">
        <is>
          <t>https://startad.ae/programs/</t>
        </is>
      </c>
      <c r="X4" s="4" t="n">
        <v>46301</v>
      </c>
    </row>
    <row r="5" ht="78" customHeight="1">
      <c r="A5" s="2" t="inlineStr">
        <is>
          <t>CC-022</t>
        </is>
      </c>
      <c r="B5" s="2" t="inlineStr">
        <is>
          <t>UAE</t>
        </is>
      </c>
      <c r="C5" s="2" t="n">
        <v>4</v>
      </c>
      <c r="D5" s="2" t="inlineStr">
        <is>
          <t>Hub71 Access</t>
        </is>
      </c>
      <c r="E5" s="2" t="inlineStr">
        <is>
          <t>Accelerator / investment support</t>
        </is>
      </c>
      <c r="F5" s="2" t="inlineStr">
        <is>
          <t>Incentives; equity terms to confirm</t>
        </is>
      </c>
      <c r="G5" s="2" t="inlineStr">
        <is>
          <t>AI / enterprise / infrastructure</t>
        </is>
      </c>
      <c r="H5" s="2" t="inlineStr">
        <is>
          <t>Application explicitly includes post-launch pre-revenue</t>
        </is>
      </c>
      <c r="I5" s="2" t="inlineStr">
        <is>
          <t>Contact now</t>
        </is>
      </c>
      <c r="J5" s="2" t="inlineStr">
        <is>
          <t>Medium</t>
        </is>
      </c>
      <c r="K5" s="2" t="inlineStr">
        <is>
          <t>No direct cash confirmed</t>
        </is>
      </c>
      <c r="L5" s="2" t="n">
        <v>5</v>
      </c>
      <c r="M5" s="2" t="n">
        <v>3</v>
      </c>
      <c r="N5" s="2" t="n">
        <v>3</v>
      </c>
      <c r="O5" s="2" t="n">
        <v>80</v>
      </c>
      <c r="P5" s="2" t="inlineStr">
        <is>
          <t>Founder relocation question; Abu Dhabi plan and MVP required; verify admission and incentive terms.</t>
        </is>
      </c>
      <c r="Q5" s="2" t="inlineStr">
        <is>
          <t>Application form live; next selection unconfirmed</t>
        </is>
      </c>
      <c r="R5" s="2" t="inlineStr">
        <is>
          <t>Access admissions via application form</t>
        </is>
      </c>
      <c r="S5" s="3" t="inlineStr">
        <is>
          <t>https://www.hub71.com/program/access-programme/apply</t>
        </is>
      </c>
      <c r="T5" s="2" t="inlineStr">
        <is>
          <t>Not publicly confirmed; request current terms</t>
        </is>
      </c>
      <c r="U5" s="2" t="inlineStr">
        <is>
          <t>Request pre-revenue eligibility screening with MVP demo and Abu Dhabi pilot roadmap.</t>
        </is>
      </c>
      <c r="V5" s="2" t="inlineStr">
        <is>
          <t>Official application offers pre-revenue option and asks relocation plans.</t>
        </is>
      </c>
      <c r="W5" s="3" t="inlineStr">
        <is>
          <t>https://www.hub71.com/program/access-programme/apply</t>
        </is>
      </c>
      <c r="X5" s="4" t="n">
        <v>46301</v>
      </c>
    </row>
    <row r="6" ht="78" customHeight="1">
      <c r="A6" s="2" t="inlineStr">
        <is>
          <t>CC-023</t>
        </is>
      </c>
      <c r="B6" s="2" t="inlineStr">
        <is>
          <t>UAE</t>
        </is>
      </c>
      <c r="C6" s="2" t="n">
        <v>5</v>
      </c>
      <c r="D6" s="2" t="inlineStr">
        <is>
          <t>Shorooq venture capital</t>
        </is>
      </c>
      <c r="E6" s="2" t="inlineStr">
        <is>
          <t>VC</t>
        </is>
      </c>
      <c r="F6" s="2" t="inlineStr">
        <is>
          <t>Equity</t>
        </is>
      </c>
      <c r="G6" s="2" t="inlineStr">
        <is>
          <t>Software / frontier tech / platforms</t>
        </is>
      </c>
      <c r="H6" s="2" t="inlineStr">
        <is>
          <t>Pre-seed onward explicitly stated</t>
        </is>
      </c>
      <c r="I6" s="2" t="inlineStr">
        <is>
          <t>Contact now</t>
        </is>
      </c>
      <c r="J6" s="2" t="inlineStr">
        <is>
          <t>Medium</t>
        </is>
      </c>
      <c r="K6" s="2" t="inlineStr">
        <is>
          <t>Low to medium / competitive</t>
        </is>
      </c>
      <c r="L6" s="2" t="n">
        <v>5</v>
      </c>
      <c r="M6" s="2" t="n">
        <v>3</v>
      </c>
      <c r="N6" s="2" t="n">
        <v>3</v>
      </c>
      <c r="O6" s="2" t="n">
        <v>80</v>
      </c>
      <c r="P6" s="2" t="inlineStr">
        <is>
          <t>Demonstrate MENA strategy and venture returns; pitch VC team, not PE or credit team.</t>
        </is>
      </c>
      <c r="Q6" s="2" t="inlineStr">
        <is>
          <t>Official early-stage mandate published</t>
        </is>
      </c>
      <c r="R6" s="2" t="inlineStr">
        <is>
          <t>VC investment team via official website</t>
        </is>
      </c>
      <c r="S6" s="3" t="inlineStr">
        <is>
          <t>https://www.shorooq.com/locations</t>
        </is>
      </c>
      <c r="T6" s="2" t="inlineStr">
        <is>
          <t>Not publicly confirmed; request current terms</t>
        </is>
      </c>
      <c r="U6" s="2" t="inlineStr">
        <is>
          <t>Request pre-seed review for CK/ESG with UAE hotel and industrial deployment wedge.</t>
        </is>
      </c>
      <c r="V6" s="2" t="inlineStr">
        <is>
          <t>Official VC mandate starts at pre-seed.</t>
        </is>
      </c>
      <c r="W6" s="3" t="inlineStr">
        <is>
          <t>https://www.shorooq.com/what-we-do/equity-venture-capital</t>
        </is>
      </c>
      <c r="X6" s="4" t="n">
        <v>46301</v>
      </c>
    </row>
    <row r="7" ht="78" customHeight="1">
      <c r="A7" s="2" t="inlineStr">
        <is>
          <t>CC-024</t>
        </is>
      </c>
      <c r="B7" s="2" t="inlineStr">
        <is>
          <t>UAE</t>
        </is>
      </c>
      <c r="C7" s="2" t="n">
        <v>6</v>
      </c>
      <c r="D7" s="2" t="inlineStr">
        <is>
          <t>Dubai Future Accelerators</t>
        </is>
      </c>
      <c r="E7" s="2" t="inlineStr">
        <is>
          <t>Government / corporate pilots</t>
        </is>
      </c>
      <c r="F7" s="2" t="inlineStr">
        <is>
          <t>Challenge collaboration; possible procurement</t>
        </is>
      </c>
      <c r="G7" s="2" t="inlineStr">
        <is>
          <t>Utilities / healthcare / smart infrastructure</t>
        </is>
      </c>
      <c r="H7" s="2" t="inlineStr">
        <is>
          <t>Prototype suitable; challenge dependent</t>
        </is>
      </c>
      <c r="I7" s="2" t="inlineStr">
        <is>
          <t>Contact now</t>
        </is>
      </c>
      <c r="J7" s="2" t="inlineStr">
        <is>
          <t>Medium</t>
        </is>
      </c>
      <c r="K7" s="2" t="inlineStr">
        <is>
          <t>No direct cash confirmed</t>
        </is>
      </c>
      <c r="L7" s="2" t="n">
        <v>5</v>
      </c>
      <c r="M7" s="2" t="n">
        <v>3</v>
      </c>
      <c r="N7" s="2" t="n">
        <v>3</v>
      </c>
      <c r="O7" s="2" t="n">
        <v>80</v>
      </c>
      <c r="P7" s="2" t="inlineStr">
        <is>
          <t>Current challenge match; no guaranteed grant or purchase order.</t>
        </is>
      </c>
      <c r="Q7" s="2" t="inlineStr">
        <is>
          <t>Programme listed; matching live challenge unconfirmed</t>
        </is>
      </c>
      <c r="R7" s="2" t="inlineStr">
        <is>
          <t>Programme team via official initiative</t>
        </is>
      </c>
      <c r="S7" s="3" t="inlineStr">
        <is>
          <t>https://www.dubaifuture.ae/initiatives/future-design-and-acceleration/dubai-future-accelerators/</t>
        </is>
      </c>
      <c r="T7" s="2" t="inlineStr">
        <is>
          <t>Not publicly confirmed; request current terms</t>
        </is>
      </c>
      <c r="U7" s="2" t="inlineStr">
        <is>
          <t>Ask for current energy/water/health facility challenges and pilot submission route.</t>
        </is>
      </c>
      <c r="V7" s="2" t="inlineStr">
        <is>
          <t>Startups collaborate with government/private entities on specified challenges.</t>
        </is>
      </c>
      <c r="W7" s="3" t="inlineStr">
        <is>
          <t>https://www.dubaifuture.ae/initiatives/future-design-and-acceleration/dubai-future-accelerators/</t>
        </is>
      </c>
      <c r="X7" s="4" t="n">
        <v>46301</v>
      </c>
    </row>
    <row r="8" ht="78" customHeight="1">
      <c r="A8" s="2" t="inlineStr">
        <is>
          <t>CC-025</t>
        </is>
      </c>
      <c r="B8" s="2" t="inlineStr">
        <is>
          <t>UAE</t>
        </is>
      </c>
      <c r="C8" s="2" t="n">
        <v>7</v>
      </c>
      <c r="D8" s="2" t="inlineStr">
        <is>
          <t>Etihad ESCO</t>
        </is>
      </c>
      <c r="E8" s="2" t="inlineStr">
        <is>
          <t>Utility / ESCO partner</t>
        </is>
      </c>
      <c r="F8" s="2" t="inlineStr">
        <is>
          <t>Performance-contract pilot / supplier route</t>
        </is>
      </c>
      <c r="G8" s="2" t="inlineStr">
        <is>
          <t>Buildings / hotels / industrial</t>
        </is>
      </c>
      <c r="H8" s="2" t="inlineStr">
        <is>
          <t>Commercial partner; not seed fund</t>
        </is>
      </c>
      <c r="I8" s="2" t="inlineStr">
        <is>
          <t>Contact now</t>
        </is>
      </c>
      <c r="J8" s="2" t="inlineStr">
        <is>
          <t>Medium</t>
        </is>
      </c>
      <c r="K8" s="2" t="inlineStr">
        <is>
          <t>No direct cash confirmed</t>
        </is>
      </c>
      <c r="L8" s="2" t="n">
        <v>5</v>
      </c>
      <c r="M8" s="2" t="n">
        <v>3</v>
      </c>
      <c r="N8" s="2" t="n">
        <v>3</v>
      </c>
      <c r="O8" s="2" t="n">
        <v>80</v>
      </c>
      <c r="P8" s="2" t="inlineStr">
        <is>
          <t>Supplier onboarding, site economics and verifiable savings needed; budget not guaranteed.</t>
        </is>
      </c>
      <c r="Q8" s="2" t="inlineStr">
        <is>
          <t>Public business contact page</t>
        </is>
      </c>
      <c r="R8" s="2" t="inlineStr">
        <is>
          <t>Business development via official contact page</t>
        </is>
      </c>
      <c r="S8" s="3" t="inlineStr">
        <is>
          <t>https://etihadesco.ae/contacts/</t>
        </is>
      </c>
      <c r="T8" s="2" t="inlineStr">
        <is>
          <t>Not publicly confirmed; request current terms</t>
        </is>
      </c>
      <c r="U8" s="2" t="inlineStr">
        <is>
          <t>Propose CK energy anomaly and monitoring package as an ESCO integration pilot.</t>
        </is>
      </c>
      <c r="V8" s="2" t="inlineStr">
        <is>
          <t>Official energy-services company and contact route.</t>
        </is>
      </c>
      <c r="W8" s="3" t="inlineStr">
        <is>
          <t>https://etihadesco.ae/</t>
        </is>
      </c>
      <c r="X8" s="4" t="n">
        <v>46301</v>
      </c>
    </row>
    <row r="9" ht="78" customHeight="1">
      <c r="A9" s="2" t="inlineStr">
        <is>
          <t>CC-026</t>
        </is>
      </c>
      <c r="B9" s="2" t="inlineStr">
        <is>
          <t>UAE</t>
        </is>
      </c>
      <c r="C9" s="2" t="n">
        <v>8</v>
      </c>
      <c r="D9" s="2" t="inlineStr">
        <is>
          <t>Khalifa University</t>
        </is>
      </c>
      <c r="E9" s="2" t="inlineStr">
        <is>
          <t>Academia</t>
        </is>
      </c>
      <c r="F9" s="2" t="inlineStr">
        <is>
          <t>Research collaboration / technology licensing</t>
        </is>
      </c>
      <c r="G9" s="2" t="inlineStr">
        <is>
          <t>Energy / water / industrial / IoT</t>
        </is>
      </c>
      <c r="H9" s="2" t="inlineStr">
        <is>
          <t>Industry collaboration; not startup grant</t>
        </is>
      </c>
      <c r="I9" s="2" t="inlineStr">
        <is>
          <t>Contact now</t>
        </is>
      </c>
      <c r="J9" s="2" t="inlineStr">
        <is>
          <t>High</t>
        </is>
      </c>
      <c r="K9" s="2" t="inlineStr">
        <is>
          <t>No direct cash confirmed</t>
        </is>
      </c>
      <c r="L9" s="2" t="n">
        <v>4</v>
      </c>
      <c r="M9" s="2" t="n">
        <v>4</v>
      </c>
      <c r="N9" s="2" t="n">
        <v>3</v>
      </c>
      <c r="O9" s="2" t="n">
        <v>76</v>
      </c>
      <c r="P9" s="2" t="inlineStr">
        <is>
          <t>Research budget, faculty sponsorship and IP terms; inquiry routed through research office.</t>
        </is>
      </c>
      <c r="Q9" s="2" t="inlineStr">
        <is>
          <t>Research and technology contacts published</t>
        </is>
      </c>
      <c r="R9" s="2" t="inlineStr">
        <is>
          <t>ors@ku.ac.ae (research) | ip@ku.ac.ae (licensing)</t>
        </is>
      </c>
      <c r="S9" s="3" t="inlineStr">
        <is>
          <t>https://www.ku.ac.ae/research-offices/technology-management-innovation/commercial-agreements</t>
        </is>
      </c>
      <c r="T9" s="2" t="inlineStr">
        <is>
          <t>Not publicly confirmed; request current terms</t>
        </is>
      </c>
      <c r="U9" s="2" t="inlineStr">
        <is>
          <t>Request applied energy/AQ sensor and industrial PdM research collaboration.</t>
        </is>
      </c>
      <c r="V9" s="2" t="inlineStr">
        <is>
          <t>Industry partnership department and research-services route documented.</t>
        </is>
      </c>
      <c r="W9" s="3" t="inlineStr">
        <is>
          <t>https://www.ku.ac.ae/research/research-administration/</t>
        </is>
      </c>
      <c r="X9" s="4" t="n">
        <v>46301</v>
      </c>
    </row>
    <row r="10" ht="78" customHeight="1">
      <c r="A10" s="2" t="inlineStr">
        <is>
          <t>CC-027</t>
        </is>
      </c>
      <c r="B10" s="2" t="inlineStr">
        <is>
          <t>UAE</t>
        </is>
      </c>
      <c r="C10" s="2" t="n">
        <v>9</v>
      </c>
      <c r="D10" s="2" t="inlineStr">
        <is>
          <t>Dtec SANDBOX</t>
        </is>
      </c>
      <c r="E10" s="2" t="inlineStr">
        <is>
          <t>Accelerator</t>
        </is>
      </c>
      <c r="F10" s="2" t="inlineStr">
        <is>
          <t>Founder development / investor access</t>
        </is>
      </c>
      <c r="G10" s="2" t="inlineStr">
        <is>
          <t>B2B tech / AI / IoT</t>
        </is>
      </c>
      <c r="H10" s="2" t="inlineStr">
        <is>
          <t>Early-stage programme</t>
        </is>
      </c>
      <c r="I10" s="2" t="inlineStr">
        <is>
          <t>Contact now</t>
        </is>
      </c>
      <c r="J10" s="2" t="inlineStr">
        <is>
          <t>Medium</t>
        </is>
      </c>
      <c r="K10" s="2" t="inlineStr">
        <is>
          <t>No direct cash confirmed</t>
        </is>
      </c>
      <c r="L10" s="2" t="n">
        <v>4</v>
      </c>
      <c r="M10" s="2" t="n">
        <v>3</v>
      </c>
      <c r="N10" s="2" t="n">
        <v>3</v>
      </c>
      <c r="O10" s="2" t="n">
        <v>70</v>
      </c>
      <c r="P10" s="2" t="inlineStr">
        <is>
          <t>Dubai presence, fees/equity/credits and current eligibility must be reconfirmed; do not reuse old award figures.</t>
        </is>
      </c>
      <c r="Q10" s="2" t="inlineStr">
        <is>
          <t>Official page points to SANDBOX application</t>
        </is>
      </c>
      <c r="R10" s="2" t="inlineStr">
        <is>
          <t>SANDBOX programme application team</t>
        </is>
      </c>
      <c r="S10" s="3" t="inlineStr">
        <is>
          <t>https://dtec.ae/programs/</t>
        </is>
      </c>
      <c r="T10" s="2" t="inlineStr">
        <is>
          <t>Not publicly confirmed; request current terms</t>
        </is>
      </c>
      <c r="U10" s="2" t="inlineStr">
        <is>
          <t>Ask current terms and fit for pre-revenue US company with UAE partner pipeline.</t>
        </is>
      </c>
      <c r="V10" s="2" t="inlineStr">
        <is>
          <t>Official Dtec programme page supplies application route.</t>
        </is>
      </c>
      <c r="W10" s="3" t="inlineStr">
        <is>
          <t>https://dtec.ae/programs/</t>
        </is>
      </c>
      <c r="X10" s="4" t="n">
        <v>46301</v>
      </c>
    </row>
    <row r="11" ht="78" customHeight="1">
      <c r="A11" s="2" t="inlineStr">
        <is>
          <t>CC-028</t>
        </is>
      </c>
      <c r="B11" s="2" t="inlineStr">
        <is>
          <t>UAE</t>
        </is>
      </c>
      <c r="C11" s="2" t="n">
        <v>10</v>
      </c>
      <c r="D11" s="2" t="inlineStr">
        <is>
          <t>MBZUAI Incubation &amp; Entrepreneurship Center</t>
        </is>
      </c>
      <c r="E11" s="2" t="inlineStr">
        <is>
          <t>Academia / AI ecosystem</t>
        </is>
      </c>
      <c r="F11" s="2" t="inlineStr">
        <is>
          <t>Demo Day / research-founder engagement</t>
        </is>
      </c>
      <c r="G11" s="2" t="inlineStr">
        <is>
          <t>AI / predictive maintenance / health infrastructure</t>
        </is>
      </c>
      <c r="H11" s="2" t="inlineStr">
        <is>
          <t>External community opportunities</t>
        </is>
      </c>
      <c r="I11" s="2" t="inlineStr">
        <is>
          <t>Contact now</t>
        </is>
      </c>
      <c r="J11" s="2" t="inlineStr">
        <is>
          <t>Medium</t>
        </is>
      </c>
      <c r="K11" s="2" t="inlineStr">
        <is>
          <t>No direct cash confirmed</t>
        </is>
      </c>
      <c r="L11" s="2" t="n">
        <v>4</v>
      </c>
      <c r="M11" s="2" t="n">
        <v>3</v>
      </c>
      <c r="N11" s="2" t="n">
        <v>3</v>
      </c>
      <c r="O11" s="2" t="n">
        <v>70</v>
      </c>
      <c r="P11" s="2" t="inlineStr">
        <is>
          <t>IEC grants exclusively for MBZUAI-affiliated founders; Inspironics affiliation not established.</t>
        </is>
      </c>
      <c r="Q11" s="2" t="inlineStr">
        <is>
          <t>External events listed; grant eligibility blocked absent affiliation</t>
        </is>
      </c>
      <c r="R11" s="2" t="inlineStr">
        <is>
          <t>iec@mbzuai.ac.ae</t>
        </is>
      </c>
      <c r="S11" s="3" t="inlineStr">
        <is>
          <t>https://mbzuai.ac.ae/innovation-partnerships/incubation-entrepreneurship-center</t>
        </is>
      </c>
      <c r="T11" s="2" t="inlineStr">
        <is>
          <t>Not publicly confirmed; request current terms</t>
        </is>
      </c>
      <c r="U11" s="2" t="inlineStr">
        <is>
          <t>Request Demo Day participation and research collaboration, not an unaffiliated grant.</t>
        </is>
      </c>
      <c r="V11" s="2" t="inlineStr">
        <is>
          <t>External events open; grant limited to affiliated founders.</t>
        </is>
      </c>
      <c r="W11" s="3" t="inlineStr">
        <is>
          <t>https://mbzuai.ac.ae/innovation-partnerships/incubation-entrepreneurship-center</t>
        </is>
      </c>
      <c r="X11" s="4" t="n">
        <v>46301</v>
      </c>
    </row>
    <row r="12" ht="78" customHeight="1">
      <c r="A12" s="2" t="inlineStr">
        <is>
          <t>CC-029</t>
        </is>
      </c>
      <c r="B12" s="2" t="inlineStr">
        <is>
          <t>UAE</t>
        </is>
      </c>
      <c r="C12" s="2" t="n">
        <v>11</v>
      </c>
      <c r="D12" s="2" t="inlineStr">
        <is>
          <t>Wamda Capital</t>
        </is>
      </c>
      <c r="E12" s="2" t="inlineStr">
        <is>
          <t>VC</t>
        </is>
      </c>
      <c r="F12" s="2" t="inlineStr">
        <is>
          <t>Equity</t>
        </is>
      </c>
      <c r="G12" s="2" t="inlineStr">
        <is>
          <t>Enterprise tech / MENA</t>
        </is>
      </c>
      <c r="H12" s="2" t="inlineStr">
        <is>
          <t>High-growth technology; pre-revenue policy unverified</t>
        </is>
      </c>
      <c r="I12" s="2" t="inlineStr">
        <is>
          <t>Conditional screen</t>
        </is>
      </c>
      <c r="J12" s="2" t="inlineStr">
        <is>
          <t>Low</t>
        </is>
      </c>
      <c r="K12" s="2" t="inlineStr">
        <is>
          <t>Low to medium / competitive</t>
        </is>
      </c>
      <c r="L12" s="2" t="n">
        <v>4</v>
      </c>
      <c r="M12" s="2" t="n">
        <v>2</v>
      </c>
      <c r="N12" s="2" t="n">
        <v>3</v>
      </c>
      <c r="O12" s="2" t="n">
        <v>64</v>
      </c>
      <c r="P12" s="2" t="inlineStr">
        <is>
          <t>MENA relevance; ask stage fit before full diligence.</t>
        </is>
      </c>
      <c r="Q12" s="2" t="inlineStr">
        <is>
          <t>Official investment and contact pages</t>
        </is>
      </c>
      <c r="R12" s="2" t="inlineStr">
        <is>
          <t>info@wamdacapital.com</t>
        </is>
      </c>
      <c r="S12" s="3" t="inlineStr">
        <is>
          <t>https://wamdacapital.com/contact-us/</t>
        </is>
      </c>
      <c r="T12" s="2" t="inlineStr">
        <is>
          <t>Not publicly confirmed; request current terms</t>
        </is>
      </c>
      <c r="U12" s="2" t="inlineStr">
        <is>
          <t>Send brief stage-fit inquiry for UAE hospitality AIoT; seek partner referral.</t>
        </is>
      </c>
      <c r="V12" s="2" t="inlineStr">
        <is>
          <t>Official investment vehicle described as high-growth technology investor.</t>
        </is>
      </c>
      <c r="W12" s="3" t="inlineStr">
        <is>
          <t>https://www.wamda.com/about</t>
        </is>
      </c>
      <c r="X12" s="4" t="n">
        <v>46301</v>
      </c>
    </row>
    <row r="13" ht="78" customHeight="1">
      <c r="A13" s="2" t="inlineStr">
        <is>
          <t>CC-030</t>
        </is>
      </c>
      <c r="B13" s="2" t="inlineStr">
        <is>
          <t>UAE</t>
        </is>
      </c>
      <c r="C13" s="2" t="n">
        <v>12</v>
      </c>
      <c r="D13" s="2" t="inlineStr">
        <is>
          <t>Gulf Capital</t>
        </is>
      </c>
      <c r="E13" s="2" t="inlineStr">
        <is>
          <t>PE</t>
        </is>
      </c>
      <c r="F13" s="2" t="inlineStr">
        <is>
          <t>Growth equity / portfolio partnership</t>
        </is>
      </c>
      <c r="G13" s="2" t="inlineStr">
        <is>
          <t>Technology / industrial / healthcare</t>
        </is>
      </c>
      <c r="H13" s="2" t="inlineStr">
        <is>
          <t>Current direct capital fit very low (analyst view)</t>
        </is>
      </c>
      <c r="I13" s="2" t="inlineStr">
        <is>
          <t>Later / portfolio route</t>
        </is>
      </c>
      <c r="J13" s="2" t="inlineStr">
        <is>
          <t>Very low</t>
        </is>
      </c>
      <c r="K13" s="2" t="inlineStr">
        <is>
          <t>Very low / defer</t>
        </is>
      </c>
      <c r="L13" s="2" t="n">
        <v>3</v>
      </c>
      <c r="M13" s="2" t="n">
        <v>1</v>
      </c>
      <c r="N13" s="2" t="n">
        <v>1</v>
      </c>
      <c r="O13" s="2" t="n">
        <v>40</v>
      </c>
      <c r="P13" s="2" t="inlineStr">
        <is>
          <t>Growth PE mandate; no pre-revenue financing offer verified.</t>
        </is>
      </c>
      <c r="Q13" s="2" t="inlineStr">
        <is>
          <t>Official strategy and contact pages</t>
        </is>
      </c>
      <c r="R13" s="2" t="inlineStr">
        <is>
          <t>info@gulfcapital.com</t>
        </is>
      </c>
      <c r="S13" s="3" t="inlineStr">
        <is>
          <t>https://www.gulfcapital.com/contact-us</t>
        </is>
      </c>
      <c r="T13" s="2" t="inlineStr">
        <is>
          <t>Not publicly confirmed; request current terms</t>
        </is>
      </c>
      <c r="U13" s="2" t="inlineStr">
        <is>
          <t>Seek portfolio pilot introduction after local proof; defer primary raise.</t>
        </is>
      </c>
      <c r="V13" s="2" t="inlineStr">
        <is>
          <t>Authentic growth/private equity firm.</t>
        </is>
      </c>
      <c r="W13" s="3" t="inlineStr">
        <is>
          <t>https://www.gulfcapital.com/the-firm</t>
        </is>
      </c>
      <c r="X13" s="4" t="n">
        <v>46301</v>
      </c>
    </row>
  </sheetData>
  <autoFilter ref="A1:X13"/>
  <hyperlinks>
    <hyperlink xmlns:r="http://schemas.openxmlformats.org/officeDocument/2006/relationships" ref="S2" r:id="rId1"/>
    <hyperlink xmlns:r="http://schemas.openxmlformats.org/officeDocument/2006/relationships" ref="W2" r:id="rId2"/>
    <hyperlink xmlns:r="http://schemas.openxmlformats.org/officeDocument/2006/relationships" ref="S3" r:id="rId3"/>
    <hyperlink xmlns:r="http://schemas.openxmlformats.org/officeDocument/2006/relationships" ref="W3" r:id="rId4"/>
    <hyperlink xmlns:r="http://schemas.openxmlformats.org/officeDocument/2006/relationships" ref="S4" r:id="rId5"/>
    <hyperlink xmlns:r="http://schemas.openxmlformats.org/officeDocument/2006/relationships" ref="W4" r:id="rId6"/>
    <hyperlink xmlns:r="http://schemas.openxmlformats.org/officeDocument/2006/relationships" ref="S5" r:id="rId7"/>
    <hyperlink xmlns:r="http://schemas.openxmlformats.org/officeDocument/2006/relationships" ref="W5" r:id="rId8"/>
    <hyperlink xmlns:r="http://schemas.openxmlformats.org/officeDocument/2006/relationships" ref="S6" r:id="rId9"/>
    <hyperlink xmlns:r="http://schemas.openxmlformats.org/officeDocument/2006/relationships" ref="W6" r:id="rId10"/>
    <hyperlink xmlns:r="http://schemas.openxmlformats.org/officeDocument/2006/relationships" ref="S7" r:id="rId11"/>
    <hyperlink xmlns:r="http://schemas.openxmlformats.org/officeDocument/2006/relationships" ref="W7" r:id="rId12"/>
    <hyperlink xmlns:r="http://schemas.openxmlformats.org/officeDocument/2006/relationships" ref="S8" r:id="rId13"/>
    <hyperlink xmlns:r="http://schemas.openxmlformats.org/officeDocument/2006/relationships" ref="W8" r:id="rId14"/>
    <hyperlink xmlns:r="http://schemas.openxmlformats.org/officeDocument/2006/relationships" ref="S9" r:id="rId15"/>
    <hyperlink xmlns:r="http://schemas.openxmlformats.org/officeDocument/2006/relationships" ref="W9" r:id="rId16"/>
    <hyperlink xmlns:r="http://schemas.openxmlformats.org/officeDocument/2006/relationships" ref="S10" r:id="rId17"/>
    <hyperlink xmlns:r="http://schemas.openxmlformats.org/officeDocument/2006/relationships" ref="W10" r:id="rId18"/>
    <hyperlink xmlns:r="http://schemas.openxmlformats.org/officeDocument/2006/relationships" ref="S11" r:id="rId19"/>
    <hyperlink xmlns:r="http://schemas.openxmlformats.org/officeDocument/2006/relationships" ref="W11" r:id="rId20"/>
    <hyperlink xmlns:r="http://schemas.openxmlformats.org/officeDocument/2006/relationships" ref="S12" r:id="rId21"/>
    <hyperlink xmlns:r="http://schemas.openxmlformats.org/officeDocument/2006/relationships" ref="W12" r:id="rId22"/>
    <hyperlink xmlns:r="http://schemas.openxmlformats.org/officeDocument/2006/relationships" ref="S13" r:id="rId23"/>
    <hyperlink xmlns:r="http://schemas.openxmlformats.org/officeDocument/2006/relationships" ref="W13" r:id="rId2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5"/>
  </tableParts>
</worksheet>
</file>

<file path=xl/worksheets/sheet6.xml><?xml version="1.0" encoding="utf-8"?>
<worksheet xmlns="http://schemas.openxmlformats.org/spreadsheetml/2006/main">
  <sheetPr>
    <tabColor rgb="00007F86"/>
    <outlinePr summaryBelow="1" summaryRight="1"/>
    <pageSetUpPr fitToPage="1"/>
  </sheetPr>
  <dimension ref="A1:X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34" customWidth="1" min="4" max="4"/>
    <col width="26" customWidth="1" min="5" max="5"/>
    <col width="26" customWidth="1" min="6" max="6"/>
    <col width="34" customWidth="1" min="7" max="7"/>
    <col width="3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62" customWidth="1" min="16" max="16"/>
    <col width="45" customWidth="1" min="17" max="17"/>
    <col width="44" customWidth="1" min="18" max="18"/>
    <col width="48" customWidth="1" min="19" max="19"/>
    <col width="45" customWidth="1" min="20" max="20"/>
    <col width="62" customWidth="1" min="21" max="21"/>
    <col width="50" customWidth="1" min="22" max="22"/>
    <col width="48" customWidth="1" min="23" max="23"/>
    <col width="17" customWidth="1" min="24" max="24"/>
  </cols>
  <sheetData>
    <row r="1" ht="32" customHeight="1">
      <c r="A1" s="1" t="inlineStr">
        <is>
          <t>Prospect ID</t>
        </is>
      </c>
      <c r="B1" s="1" t="inlineStr">
        <is>
          <t>Country</t>
        </is>
      </c>
      <c r="C1" s="1" t="inlineStr">
        <is>
          <t>Country rank</t>
        </is>
      </c>
      <c r="D1" s="1" t="inlineStr">
        <is>
          <t>Organization / programme</t>
        </is>
      </c>
      <c r="E1" s="1" t="inlineStr">
        <is>
          <t>Category</t>
        </is>
      </c>
      <c r="F1" s="1" t="inlineStr">
        <is>
          <t>Instrument</t>
        </is>
      </c>
      <c r="G1" s="1" t="inlineStr">
        <is>
          <t>Relevant vertical / product</t>
        </is>
      </c>
      <c r="H1" s="1" t="inlineStr">
        <is>
          <t>Pre-revenue stage evidence</t>
        </is>
      </c>
      <c r="I1" s="1" t="inlineStr">
        <is>
          <t>Route</t>
        </is>
      </c>
      <c r="J1" s="1" t="inlineStr">
        <is>
          <t>Engagement outlook</t>
        </is>
      </c>
      <c r="K1" s="1" t="inlineStr">
        <is>
          <t>Direct cash outlook</t>
        </is>
      </c>
      <c r="L1" s="1" t="inlineStr">
        <is>
          <t>Relevance (1-5)</t>
        </is>
      </c>
      <c r="M1" s="1" t="inlineStr">
        <is>
          <t>Accessibility (1-5)</t>
        </is>
      </c>
      <c r="N1" s="1" t="inlineStr">
        <is>
          <t>Readiness (1-5)</t>
        </is>
      </c>
      <c r="O1" s="1" t="inlineStr">
        <is>
          <t>Priority score /100</t>
        </is>
      </c>
      <c r="P1" s="1" t="inlineStr">
        <is>
          <t>Eligibility / blockers</t>
        </is>
      </c>
      <c r="Q1" s="1" t="inlineStr">
        <is>
          <t>Current status</t>
        </is>
      </c>
      <c r="R1" s="1" t="inlineStr">
        <is>
          <t>Public contact / team</t>
        </is>
      </c>
      <c r="S1" s="1" t="inlineStr">
        <is>
          <t>Contact / apply URL</t>
        </is>
      </c>
      <c r="T1" s="1" t="inlineStr">
        <is>
          <t>Published benefit / terms</t>
        </is>
      </c>
      <c r="U1" s="1" t="inlineStr">
        <is>
          <t>Tailored first ask</t>
        </is>
      </c>
      <c r="V1" s="1" t="inlineStr">
        <is>
          <t>Evidence summary</t>
        </is>
      </c>
      <c r="W1" s="1" t="inlineStr">
        <is>
          <t>Official source URL</t>
        </is>
      </c>
      <c r="X1" s="1" t="inlineStr">
        <is>
          <t>Checked date</t>
        </is>
      </c>
    </row>
    <row r="2" ht="78" customHeight="1">
      <c r="A2" s="2" t="inlineStr">
        <is>
          <t>CC-031</t>
        </is>
      </c>
      <c r="B2" s="2" t="inlineStr">
        <is>
          <t>Singapore</t>
        </is>
      </c>
      <c r="C2" s="2" t="n">
        <v>1</v>
      </c>
      <c r="D2" s="2" t="inlineStr">
        <is>
          <t>NTU Energy Research Institute (ERI@N)</t>
        </is>
      </c>
      <c r="E2" s="2" t="inlineStr">
        <is>
          <t>Academia</t>
        </is>
      </c>
      <c r="F2" s="2" t="inlineStr">
        <is>
          <t>Industry research collaboration</t>
        </is>
      </c>
      <c r="G2" s="2" t="inlineStr">
        <is>
          <t>Energy / buildings / industrial</t>
        </is>
      </c>
      <c r="H2" s="2" t="inlineStr">
        <is>
          <t>Industry collaboration route</t>
        </is>
      </c>
      <c r="I2" s="2" t="inlineStr">
        <is>
          <t>Contact now</t>
        </is>
      </c>
      <c r="J2" s="2" t="inlineStr">
        <is>
          <t>High</t>
        </is>
      </c>
      <c r="K2" s="2" t="inlineStr">
        <is>
          <t>No direct cash confirmed</t>
        </is>
      </c>
      <c r="L2" s="2" t="n">
        <v>5</v>
      </c>
      <c r="M2" s="2" t="n">
        <v>4</v>
      </c>
      <c r="N2" s="2" t="n">
        <v>4</v>
      </c>
      <c r="O2" s="2" t="n">
        <v>90</v>
      </c>
      <c r="P2" s="2" t="inlineStr">
        <is>
          <t>Budget and research agreement; foreground IP terms must be agreed.</t>
        </is>
      </c>
      <c r="Q2" s="2" t="inlineStr">
        <is>
          <t>Industry partnership mailbox published</t>
        </is>
      </c>
      <c r="R2" s="2" t="inlineStr">
        <is>
          <t>d-erian@ntu.edu.sg | +65 6592 1786</t>
        </is>
      </c>
      <c r="S2" s="3" t="inlineStr">
        <is>
          <t>https://www.ntu.edu.sg/erian/industry-partners</t>
        </is>
      </c>
      <c r="T2" s="2" t="inlineStr">
        <is>
          <t>Not publicly confirmed; request current terms</t>
        </is>
      </c>
      <c r="U2" s="2" t="inlineStr">
        <is>
          <t>Request measured energy optimization validation and joint GBIC scoping.</t>
        </is>
      </c>
      <c r="V2" s="2" t="inlineStr">
        <is>
          <t>Institute invites collaboration and documents industry research/IP agreements.</t>
        </is>
      </c>
      <c r="W2" s="3" t="inlineStr">
        <is>
          <t>https://www.ntu.edu.sg/erian/industry-partners</t>
        </is>
      </c>
      <c r="X2" s="4" t="n">
        <v>46301</v>
      </c>
    </row>
    <row r="3" ht="78" customHeight="1">
      <c r="A3" s="2" t="inlineStr">
        <is>
          <t>CC-032</t>
        </is>
      </c>
      <c r="B3" s="2" t="inlineStr">
        <is>
          <t>Singapore</t>
        </is>
      </c>
      <c r="C3" s="2" t="n">
        <v>2</v>
      </c>
      <c r="D3" s="2" t="inlineStr">
        <is>
          <t>A*STAR ARTC</t>
        </is>
      </c>
      <c r="E3" s="2" t="inlineStr">
        <is>
          <t>Industry consortium / research</t>
        </is>
      </c>
      <c r="F3" s="2" t="inlineStr">
        <is>
          <t>Co-development / manufacturing testbed</t>
        </is>
      </c>
      <c r="G3" s="2" t="inlineStr">
        <is>
          <t>Factories / aerospace supply chain / PdM / OEE</t>
        </is>
      </c>
      <c r="H3" s="2" t="inlineStr">
        <is>
          <t>Consortium includes startups</t>
        </is>
      </c>
      <c r="I3" s="2" t="inlineStr">
        <is>
          <t>Contact now</t>
        </is>
      </c>
      <c r="J3" s="2" t="inlineStr">
        <is>
          <t>High</t>
        </is>
      </c>
      <c r="K3" s="2" t="inlineStr">
        <is>
          <t>No direct cash confirmed</t>
        </is>
      </c>
      <c r="L3" s="2" t="n">
        <v>5</v>
      </c>
      <c r="M3" s="2" t="n">
        <v>4</v>
      </c>
      <c r="N3" s="2" t="n">
        <v>3</v>
      </c>
      <c r="O3" s="2" t="n">
        <v>86</v>
      </c>
      <c r="P3" s="2" t="inlineStr">
        <is>
          <t>Membership fees, local project structure and scope; not free seed capital.</t>
        </is>
      </c>
      <c r="Q3" s="2" t="inlineStr">
        <is>
          <t>Membership and business mailbox live</t>
        </is>
      </c>
      <c r="R3" s="2" t="inlineStr">
        <is>
          <t>artc_techbiz_admin@a-star.edu.sg</t>
        </is>
      </c>
      <c r="S3" s="3" t="inlineStr">
        <is>
          <t>https://www.a-star.edu.sg/artc/contact-us</t>
        </is>
      </c>
      <c r="T3" s="2" t="inlineStr">
        <is>
          <t>Not publicly confirmed; request current terms</t>
        </is>
      </c>
      <c r="U3" s="2" t="inlineStr">
        <is>
          <t>Request startup-tier access and a PdM/OEE demonstrator with manufacturing member.</t>
        </is>
      </c>
      <c r="V3" s="2" t="inlineStr">
        <is>
          <t>Official manufacturing consortium includes startups.</t>
        </is>
      </c>
      <c r="W3" s="3" t="inlineStr">
        <is>
          <t>https://www.a-star.edu.sg/artc/</t>
        </is>
      </c>
      <c r="X3" s="4" t="n">
        <v>46301</v>
      </c>
    </row>
    <row r="4" ht="78" customHeight="1">
      <c r="A4" s="2" t="inlineStr">
        <is>
          <t>CC-033</t>
        </is>
      </c>
      <c r="B4" s="2" t="inlineStr">
        <is>
          <t>Singapore</t>
        </is>
      </c>
      <c r="C4" s="2" t="n">
        <v>3</v>
      </c>
      <c r="D4" s="2" t="inlineStr">
        <is>
          <t>Wavemaker Ventures</t>
        </is>
      </c>
      <c r="E4" s="2" t="inlineStr">
        <is>
          <t>VC</t>
        </is>
      </c>
      <c r="F4" s="2" t="inlineStr">
        <is>
          <t>Equity</t>
        </is>
      </c>
      <c r="G4" s="2" t="inlineStr">
        <is>
          <t>Enterprise / deep tech / sustainability</t>
        </is>
      </c>
      <c r="H4" s="2" t="inlineStr">
        <is>
          <t>Early-stage explicitly stated</t>
        </is>
      </c>
      <c r="I4" s="2" t="inlineStr">
        <is>
          <t>Contact now</t>
        </is>
      </c>
      <c r="J4" s="2" t="inlineStr">
        <is>
          <t>Medium</t>
        </is>
      </c>
      <c r="K4" s="2" t="inlineStr">
        <is>
          <t>Low to medium / competitive</t>
        </is>
      </c>
      <c r="L4" s="2" t="n">
        <v>5</v>
      </c>
      <c r="M4" s="2" t="n">
        <v>3</v>
      </c>
      <c r="N4" s="2" t="n">
        <v>3</v>
      </c>
      <c r="O4" s="2" t="n">
        <v>80</v>
      </c>
      <c r="P4" s="2" t="inlineStr">
        <is>
          <t>Southeast Asia commercial relevance; technical depth and investable entity/IP.</t>
        </is>
      </c>
      <c r="Q4" s="2" t="inlineStr">
        <is>
          <t>Official thesis and contact route</t>
        </is>
      </c>
      <c r="R4" s="2" t="inlineStr">
        <is>
          <t>Pitch team via official contact form; warm intro preferred</t>
        </is>
      </c>
      <c r="S4" s="3" t="inlineStr">
        <is>
          <t>https://wavemaker.vc/contact-us/</t>
        </is>
      </c>
      <c r="T4" s="2" t="inlineStr">
        <is>
          <t>Not publicly confirmed; request current terms</t>
        </is>
      </c>
      <c r="U4" s="2" t="inlineStr">
        <is>
          <t>Use Dr. Vijendran network where available for CK/ESG first-institutional-round introduction.</t>
        </is>
      </c>
      <c r="V4" s="2" t="inlineStr">
        <is>
          <t>Official early-stage thesis closely matches enterprise and sustainability.</t>
        </is>
      </c>
      <c r="W4" s="3" t="inlineStr">
        <is>
          <t>https://wavemaker.vc/our-investment-thesis/</t>
        </is>
      </c>
      <c r="X4" s="4" t="n">
        <v>46301</v>
      </c>
    </row>
    <row r="5" ht="78" customHeight="1">
      <c r="A5" s="2" t="inlineStr">
        <is>
          <t>CC-034</t>
        </is>
      </c>
      <c r="B5" s="2" t="inlineStr">
        <is>
          <t>Singapore</t>
        </is>
      </c>
      <c r="C5" s="2" t="n">
        <v>4</v>
      </c>
      <c r="D5" s="2" t="inlineStr">
        <is>
          <t>BCA Green Buildings Innovation Cluster</t>
        </is>
      </c>
      <c r="E5" s="2" t="inlineStr">
        <is>
          <t>Government RD&amp;D</t>
        </is>
      </c>
      <c r="F5" s="2" t="inlineStr">
        <is>
          <t>Co-funded R&amp;D / product prototyping</t>
        </is>
      </c>
      <c r="G5" s="2" t="inlineStr">
        <is>
          <t>Buildings / hospitality / comfort / AQ</t>
        </is>
      </c>
      <c r="H5" s="2" t="inlineStr">
        <is>
          <t>R&amp;D TRL3; product prototyping TRL5</t>
        </is>
      </c>
      <c r="I5" s="2" t="inlineStr">
        <is>
          <t>Contact now</t>
        </is>
      </c>
      <c r="J5" s="2" t="inlineStr">
        <is>
          <t>Medium</t>
        </is>
      </c>
      <c r="K5" s="2" t="inlineStr">
        <is>
          <t>No direct cash confirmed</t>
        </is>
      </c>
      <c r="L5" s="2" t="n">
        <v>5</v>
      </c>
      <c r="M5" s="2" t="n">
        <v>3</v>
      </c>
      <c r="N5" s="2" t="n">
        <v>3</v>
      </c>
      <c r="O5" s="2" t="n">
        <v>80</v>
      </c>
      <c r="P5" s="2" t="inlineStr">
        <is>
          <t>Research collaborator and building adopter; cost share; R&amp;D &gt;S$0.5m requires public research collaborator. Overseas solutions mentioned; confirm applicant structure.</t>
        </is>
      </c>
      <c r="Q5" s="2" t="inlineStr">
        <is>
          <t>Current official page updated Sep 1 2026; call acceptance to confirm</t>
        </is>
      </c>
      <c r="R5" s="2" t="inlineStr">
        <is>
          <t>BCA_GBIC@bca.gov.sg</t>
        </is>
      </c>
      <c r="S5" s="3" t="inlineStr">
        <is>
          <t>https://www1.bca.gov.sg/sustainability/green-buildings-innovation-cluster-gbic-programme/</t>
        </is>
      </c>
      <c r="T5" s="2" t="inlineStr">
        <is>
          <t>Private sector up to 70%; product prototyping cap S$500,000; conditional co-funding.</t>
        </is>
      </c>
      <c r="U5" s="2" t="inlineStr">
        <is>
          <t>Request scoping call with NTU/SUTD plus building owner for CK controls/AQ pilot.</t>
        </is>
      </c>
      <c r="V5" s="2" t="inlineStr">
        <is>
          <t>GBIC supports development and prototyping with energy-performance thresholds.</t>
        </is>
      </c>
      <c r="W5" s="3" t="inlineStr">
        <is>
          <t>https://www1.bca.gov.sg/sustainability/green-buildings-innovation-cluster-gbic-programme/</t>
        </is>
      </c>
      <c r="X5" s="4" t="n">
        <v>46301</v>
      </c>
    </row>
    <row r="6" ht="78" customHeight="1">
      <c r="A6" s="2" t="inlineStr">
        <is>
          <t>CC-035</t>
        </is>
      </c>
      <c r="B6" s="2" t="inlineStr">
        <is>
          <t>Singapore</t>
        </is>
      </c>
      <c r="C6" s="2" t="n">
        <v>5</v>
      </c>
      <c r="D6" s="2" t="inlineStr">
        <is>
          <t>SUTD industry collaborations</t>
        </is>
      </c>
      <c r="E6" s="2" t="inlineStr">
        <is>
          <t>Academia</t>
        </is>
      </c>
      <c r="F6" s="2" t="inlineStr">
        <is>
          <t>Research / capstone / licensing</t>
        </is>
      </c>
      <c r="G6" s="2" t="inlineStr">
        <is>
          <t>IoT / digital twins / buildings / AI</t>
        </is>
      </c>
      <c r="H6" s="2" t="inlineStr">
        <is>
          <t>Industry collaboration route</t>
        </is>
      </c>
      <c r="I6" s="2" t="inlineStr">
        <is>
          <t>Contact now</t>
        </is>
      </c>
      <c r="J6" s="2" t="inlineStr">
        <is>
          <t>High</t>
        </is>
      </c>
      <c r="K6" s="2" t="inlineStr">
        <is>
          <t>No direct cash confirmed</t>
        </is>
      </c>
      <c r="L6" s="2" t="n">
        <v>4</v>
      </c>
      <c r="M6" s="2" t="n">
        <v>4</v>
      </c>
      <c r="N6" s="2" t="n">
        <v>4</v>
      </c>
      <c r="O6" s="2" t="n">
        <v>80</v>
      </c>
      <c r="P6" s="2" t="inlineStr">
        <is>
          <t>Sponsored scope, faculty match and IP terms; no automatic cash award.</t>
        </is>
      </c>
      <c r="Q6" s="2" t="inlineStr">
        <is>
          <t>Industry mailbox published</t>
        </is>
      </c>
      <c r="R6" s="2" t="inlineStr">
        <is>
          <t>partnerships@sutd.edu.sg</t>
        </is>
      </c>
      <c r="S6" s="3" t="inlineStr">
        <is>
          <t>https://www.sutd.edu.sg/contact-us/contact-sutd/</t>
        </is>
      </c>
      <c r="T6" s="2" t="inlineStr">
        <is>
          <t>Not publicly confirmed; request current terms</t>
        </is>
      </c>
      <c r="U6" s="2" t="inlineStr">
        <is>
          <t>Request sensor-to-digital-twin research/capstone brief for a building pilot.</t>
        </is>
      </c>
      <c r="V6" s="2" t="inlineStr">
        <is>
          <t>Official industry partnership and research collaboration routes.</t>
        </is>
      </c>
      <c r="W6" s="3" t="inlineStr">
        <is>
          <t>https://www.sutd.edu.sg/about/partnering-with-sutd/</t>
        </is>
      </c>
      <c r="X6" s="4" t="n">
        <v>46301</v>
      </c>
    </row>
    <row r="7" ht="78" customHeight="1">
      <c r="A7" s="2" t="inlineStr">
        <is>
          <t>CC-036</t>
        </is>
      </c>
      <c r="B7" s="2" t="inlineStr">
        <is>
          <t>Singapore</t>
        </is>
      </c>
      <c r="C7" s="2" t="n">
        <v>6</v>
      </c>
      <c r="D7" s="2" t="inlineStr">
        <is>
          <t>NUS Research Concierge</t>
        </is>
      </c>
      <c r="E7" s="2" t="inlineStr">
        <is>
          <t>Academia</t>
        </is>
      </c>
      <c r="F7" s="2" t="inlineStr">
        <is>
          <t>Research matchmaking / validation</t>
        </is>
      </c>
      <c r="G7" s="2" t="inlineStr">
        <is>
          <t>Energy / AQ / water / agriculture / healthcare</t>
        </is>
      </c>
      <c r="H7" s="2" t="inlineStr">
        <is>
          <t>Industry collaboration route</t>
        </is>
      </c>
      <c r="I7" s="2" t="inlineStr">
        <is>
          <t>Contact now</t>
        </is>
      </c>
      <c r="J7" s="2" t="inlineStr">
        <is>
          <t>High</t>
        </is>
      </c>
      <c r="K7" s="2" t="inlineStr">
        <is>
          <t>No direct cash confirmed</t>
        </is>
      </c>
      <c r="L7" s="2" t="n">
        <v>4</v>
      </c>
      <c r="M7" s="2" t="n">
        <v>4</v>
      </c>
      <c r="N7" s="2" t="n">
        <v>4</v>
      </c>
      <c r="O7" s="2" t="n">
        <v>80</v>
      </c>
      <c r="P7" s="2" t="inlineStr">
        <is>
          <t>Match faculty, scope, budget and IP before commitment.</t>
        </is>
      </c>
      <c r="Q7" s="2" t="inlineStr">
        <is>
          <t>Public inquiry mailbox</t>
        </is>
      </c>
      <c r="R7" s="2" t="inlineStr">
        <is>
          <t>researchconcierge@nus.edu.sg</t>
        </is>
      </c>
      <c r="S7" s="3" t="inlineStr">
        <is>
          <t>https://nus.edu.sg/research/odprt-home/research-concierge</t>
        </is>
      </c>
      <c r="T7" s="2" t="inlineStr">
        <is>
          <t>Not publicly confirmed; request current terms</t>
        </is>
      </c>
      <c r="U7" s="2" t="inlineStr">
        <is>
          <t>Ask routing to NERI/SERIS or smart-facility group for outcome validation.</t>
        </is>
      </c>
      <c r="V7" s="2" t="inlineStr">
        <is>
          <t>Official bridge between academia, government and industry.</t>
        </is>
      </c>
      <c r="W7" s="3" t="inlineStr">
        <is>
          <t>https://nus.edu.sg/research/odprt-home/research-concierge</t>
        </is>
      </c>
      <c r="X7" s="4" t="n">
        <v>46301</v>
      </c>
    </row>
    <row r="8" ht="78" customHeight="1">
      <c r="A8" s="2" t="inlineStr">
        <is>
          <t>CC-037</t>
        </is>
      </c>
      <c r="B8" s="2" t="inlineStr">
        <is>
          <t>Singapore</t>
        </is>
      </c>
      <c r="C8" s="2" t="n">
        <v>7</v>
      </c>
      <c r="D8" s="2" t="inlineStr">
        <is>
          <t>Singapore Green Building Council</t>
        </is>
      </c>
      <c r="E8" s="2" t="inlineStr">
        <is>
          <t>Industry consortium</t>
        </is>
      </c>
      <c r="F8" s="2" t="inlineStr">
        <is>
          <t>Buyer network / certification; no direct capital</t>
        </is>
      </c>
      <c r="G8" s="2" t="inlineStr">
        <is>
          <t>Buildings / hotels / hospitals / data centers</t>
        </is>
      </c>
      <c r="H8" s="2" t="inlineStr">
        <is>
          <t>Supplier membership route</t>
        </is>
      </c>
      <c r="I8" s="2" t="inlineStr">
        <is>
          <t>Contact now</t>
        </is>
      </c>
      <c r="J8" s="2" t="inlineStr">
        <is>
          <t>High</t>
        </is>
      </c>
      <c r="K8" s="2" t="inlineStr">
        <is>
          <t>No direct cash confirmed</t>
        </is>
      </c>
      <c r="L8" s="2" t="n">
        <v>4</v>
      </c>
      <c r="M8" s="2" t="n">
        <v>4</v>
      </c>
      <c r="N8" s="2" t="n">
        <v>4</v>
      </c>
      <c r="O8" s="2" t="n">
        <v>80</v>
      </c>
      <c r="P8" s="2" t="inlineStr">
        <is>
          <t>Fees and product certification applicability must be checked.</t>
        </is>
      </c>
      <c r="Q8" s="2" t="inlineStr">
        <is>
          <t>Membership route live</t>
        </is>
      </c>
      <c r="R8" s="2" t="inlineStr">
        <is>
          <t>Membership team via contact page</t>
        </is>
      </c>
      <c r="S8" s="3" t="inlineStr">
        <is>
          <t>https://www.sgbc.sg/contact-us/</t>
        </is>
      </c>
      <c r="T8" s="2" t="inlineStr">
        <is>
          <t>Not publicly confirmed; request current terms</t>
        </is>
      </c>
      <c r="U8" s="2" t="inlineStr">
        <is>
          <t>Request pilot-owner/ESCO introductions and applicable monitoring-product pathways.</t>
        </is>
      </c>
      <c r="V8" s="2" t="inlineStr">
        <is>
          <t>Council administers industry certification and membership activities.</t>
        </is>
      </c>
      <c r="W8" s="3" t="inlineStr">
        <is>
          <t>https://www.sgbc.sg/membership/about-sgbc-membership/</t>
        </is>
      </c>
      <c r="X8" s="4" t="n">
        <v>46301</v>
      </c>
    </row>
    <row r="9" ht="78" customHeight="1">
      <c r="A9" s="2" t="inlineStr">
        <is>
          <t>CC-038</t>
        </is>
      </c>
      <c r="B9" s="2" t="inlineStr">
        <is>
          <t>Singapore</t>
        </is>
      </c>
      <c r="C9" s="2" t="n">
        <v>8</v>
      </c>
      <c r="D9" s="2" t="inlineStr">
        <is>
          <t>SGInnovate</t>
        </is>
      </c>
      <c r="E9" s="2" t="inlineStr">
        <is>
          <t>VC / ecosystem</t>
        </is>
      </c>
      <c r="F9" s="2" t="inlineStr">
        <is>
          <t>Deep-tech equity / corporate engagement</t>
        </is>
      </c>
      <c r="G9" s="2" t="inlineStr">
        <is>
          <t>AI / industrial / sustainability</t>
        </is>
      </c>
      <c r="H9" s="2" t="inlineStr">
        <is>
          <t>Early-stage deep-tech pathway</t>
        </is>
      </c>
      <c r="I9" s="2" t="inlineStr">
        <is>
          <t>Contact now</t>
        </is>
      </c>
      <c r="J9" s="2" t="inlineStr">
        <is>
          <t>Medium</t>
        </is>
      </c>
      <c r="K9" s="2" t="inlineStr">
        <is>
          <t>No direct cash confirmed</t>
        </is>
      </c>
      <c r="L9" s="2" t="n">
        <v>4</v>
      </c>
      <c r="M9" s="2" t="n">
        <v>3</v>
      </c>
      <c r="N9" s="2" t="n">
        <v>3</v>
      </c>
      <c r="O9" s="2" t="n">
        <v>70</v>
      </c>
      <c r="P9" s="2" t="inlineStr">
        <is>
          <t>Research depth, Singapore nexus and IP defensibility; routine SaaS weak fit.</t>
        </is>
      </c>
      <c r="Q9" s="2" t="inlineStr">
        <is>
          <t>Official strategy and contact route</t>
        </is>
      </c>
      <c r="R9" s="2" t="inlineStr">
        <is>
          <t>Investment inquiry via official contact page</t>
        </is>
      </c>
      <c r="S9" s="3" t="inlineStr">
        <is>
          <t>https://www.sginnovate.com/contact-us</t>
        </is>
      </c>
      <c r="T9" s="2" t="inlineStr">
        <is>
          <t>Not publicly confirmed; request current terms</t>
        </is>
      </c>
      <c r="U9" s="2" t="inlineStr">
        <is>
          <t>Request fit-screen for proprietary anomaly/PdM models and Singapore validation partner.</t>
        </is>
      </c>
      <c r="V9" s="2" t="inlineStr">
        <is>
          <t>Strategic investor translating research into emerging technology.</t>
        </is>
      </c>
      <c r="W9" s="3" t="inlineStr">
        <is>
          <t>https://www.sginnovate.com/our-approach</t>
        </is>
      </c>
      <c r="X9" s="4" t="n">
        <v>46301</v>
      </c>
    </row>
    <row r="10" ht="78" customHeight="1">
      <c r="A10" s="2" t="inlineStr">
        <is>
          <t>CC-039</t>
        </is>
      </c>
      <c r="B10" s="2" t="inlineStr">
        <is>
          <t>Singapore</t>
        </is>
      </c>
      <c r="C10" s="2" t="n">
        <v>9</v>
      </c>
      <c r="D10" s="2" t="inlineStr">
        <is>
          <t>SEEDS / Startup SG Equity</t>
        </is>
      </c>
      <c r="E10" s="2" t="inlineStr">
        <is>
          <t>Government co-investment</t>
        </is>
      </c>
      <c r="F10" s="2" t="inlineStr">
        <is>
          <t>Equity co-investment; not grant</t>
        </is>
      </c>
      <c r="G10" s="2" t="inlineStr">
        <is>
          <t>Deep tech / industrial / sustainability</t>
        </is>
      </c>
      <c r="H10" s="2" t="inlineStr">
        <is>
          <t>Early-stage Singapore-based tech</t>
        </is>
      </c>
      <c r="I10" s="2" t="inlineStr">
        <is>
          <t>Conditional screen</t>
        </is>
      </c>
      <c r="J10" s="2" t="inlineStr">
        <is>
          <t>Low</t>
        </is>
      </c>
      <c r="K10" s="2" t="inlineStr">
        <is>
          <t>No direct cash confirmed</t>
        </is>
      </c>
      <c r="L10" s="2" t="n">
        <v>4</v>
      </c>
      <c r="M10" s="2" t="n">
        <v>2</v>
      </c>
      <c r="N10" s="2" t="n">
        <v>2</v>
      </c>
      <c r="O10" s="2" t="n">
        <v>60</v>
      </c>
      <c r="P10" s="2" t="inlineStr">
        <is>
          <t>Singapore-based investable business and private co-investor; no Singapore entity established in supplied context.</t>
        </is>
      </c>
      <c r="Q10" s="2" t="inlineStr">
        <is>
          <t>Official scheme current; partner matching needed</t>
        </is>
      </c>
      <c r="R10" s="2" t="inlineStr">
        <is>
          <t>Approach listed co-investment partners via SEEDS</t>
        </is>
      </c>
      <c r="S10" s="3" t="inlineStr">
        <is>
          <t>https://www.seedscapital.sg/</t>
        </is>
      </c>
      <c r="T10" s="2" t="inlineStr">
        <is>
          <t>Not publicly confirmed; request current terms</t>
        </is>
      </c>
      <c r="U10" s="2" t="inlineStr">
        <is>
          <t>Ask Wavemaker/SEEDS partner about local-entity and co-investment fit before applying.</t>
        </is>
      </c>
      <c r="V10" s="2" t="inlineStr">
        <is>
          <t>Government co-investment alongside private sector partners.</t>
        </is>
      </c>
      <c r="W10" s="3" t="inlineStr">
        <is>
          <t>https://www.seedscapital.sg/about-us/our-co-investment-model/</t>
        </is>
      </c>
      <c r="X10" s="4" t="n">
        <v>46301</v>
      </c>
    </row>
    <row r="11" ht="78" customHeight="1">
      <c r="A11" s="2" t="inlineStr">
        <is>
          <t>CC-040</t>
        </is>
      </c>
      <c r="B11" s="2" t="inlineStr">
        <is>
          <t>Singapore</t>
        </is>
      </c>
      <c r="C11" s="2" t="n">
        <v>10</v>
      </c>
      <c r="D11" s="2" t="inlineStr">
        <is>
          <t>Startup SG Tech</t>
        </is>
      </c>
      <c r="E11" s="2" t="inlineStr">
        <is>
          <t>Government grant</t>
        </is>
      </c>
      <c r="F11" s="2" t="inlineStr">
        <is>
          <t>POC / POV proprietary-technology support</t>
        </is>
      </c>
      <c r="G11" s="2" t="inlineStr">
        <is>
          <t>AI / IoT / industrial / energy</t>
        </is>
      </c>
      <c r="H11" s="2" t="inlineStr">
        <is>
          <t>Early-stage R&amp;D</t>
        </is>
      </c>
      <c r="I11" s="2" t="inlineStr">
        <is>
          <t>Eligibility gate first</t>
        </is>
      </c>
      <c r="J11" s="2" t="inlineStr">
        <is>
          <t>Very low</t>
        </is>
      </c>
      <c r="K11" s="2" t="inlineStr">
        <is>
          <t>Very low until gates cleared</t>
        </is>
      </c>
      <c r="L11" s="2" t="n">
        <v>4</v>
      </c>
      <c r="M11" s="2" t="n">
        <v>1</v>
      </c>
      <c r="N11" s="2" t="n">
        <v>2</v>
      </c>
      <c r="O11" s="2" t="n">
        <v>54</v>
      </c>
      <c r="P11" s="2" t="inlineStr">
        <is>
          <t>At least 30% local shareholding per official EDB overview; current detailed terms and Singapore incorporation to confirm.</t>
        </is>
      </c>
      <c r="Q11" s="2" t="inlineStr">
        <is>
          <t>Programme listed; intake unverified</t>
        </is>
      </c>
      <c r="R11" s="2" t="inlineStr">
        <is>
          <t>EnterpriseSG / Startup SG programme inquiry</t>
        </is>
      </c>
      <c r="S11" s="3" t="inlineStr">
        <is>
          <t>https://www.startupsg.gov.sg/programmes/</t>
        </is>
      </c>
      <c r="T11" s="2" t="inlineStr">
        <is>
          <t>Not publicly confirmed; request current terms</t>
        </is>
      </c>
      <c r="U11" s="2" t="inlineStr">
        <is>
          <t>Request current eligibility guidance; no application until local equity/IP structure qualifies.</t>
        </is>
      </c>
      <c r="V11" s="2" t="inlineStr">
        <is>
          <t>Official EDB overview states local shareholding requirement; overview is older.</t>
        </is>
      </c>
      <c r="W11" s="3" t="inlineStr">
        <is>
          <t>https://www.edb.gov.sg/en/business-insights/insights/partners-programmes-to-accelerate-your-startup-s-trajectory-in-singapore.html</t>
        </is>
      </c>
      <c r="X11" s="4" t="n">
        <v>46301</v>
      </c>
    </row>
    <row r="12" ht="78" customHeight="1">
      <c r="A12" s="2" t="inlineStr">
        <is>
          <t>CC-041</t>
        </is>
      </c>
      <c r="B12" s="2" t="inlineStr">
        <is>
          <t>Singapore</t>
        </is>
      </c>
      <c r="C12" s="2" t="n">
        <v>11</v>
      </c>
      <c r="D12" s="2" t="inlineStr">
        <is>
          <t>Navis Capital Partners</t>
        </is>
      </c>
      <c r="E12" s="2" t="inlineStr">
        <is>
          <t>PE</t>
        </is>
      </c>
      <c r="F12" s="2" t="inlineStr">
        <is>
          <t>Control equity / portfolio partnership</t>
        </is>
      </c>
      <c r="G12" s="2" t="inlineStr">
        <is>
          <t>Industrial / services / technology</t>
        </is>
      </c>
      <c r="H12" s="2" t="inlineStr">
        <is>
          <t>Current direct capital fit very low (analyst view)</t>
        </is>
      </c>
      <c r="I12" s="2" t="inlineStr">
        <is>
          <t>Later / portfolio route</t>
        </is>
      </c>
      <c r="J12" s="2" t="inlineStr">
        <is>
          <t>Very low</t>
        </is>
      </c>
      <c r="K12" s="2" t="inlineStr">
        <is>
          <t>Very low / defer</t>
        </is>
      </c>
      <c r="L12" s="2" t="n">
        <v>3</v>
      </c>
      <c r="M12" s="2" t="n">
        <v>1</v>
      </c>
      <c r="N12" s="2" t="n">
        <v>1</v>
      </c>
      <c r="O12" s="2" t="n">
        <v>40</v>
      </c>
      <c r="P12" s="2" t="inlineStr">
        <is>
          <t>Control PE strategy; startup seed offer not verified.</t>
        </is>
      </c>
      <c r="Q12" s="2" t="inlineStr">
        <is>
          <t>Official PE strategy and contact page</t>
        </is>
      </c>
      <c r="R12" s="2" t="inlineStr">
        <is>
          <t>Singapore office through official contact page</t>
        </is>
      </c>
      <c r="S12" s="3" t="inlineStr">
        <is>
          <t>https://www.naviscapital.com/contact-us/</t>
        </is>
      </c>
      <c r="T12" s="2" t="inlineStr">
        <is>
          <t>Not publicly confirmed; request current terms</t>
        </is>
      </c>
      <c r="U12" s="2" t="inlineStr">
        <is>
          <t>Request industrial portfolio technology-pilot introduction after case-study proof.</t>
        </is>
      </c>
      <c r="V12" s="2" t="inlineStr">
        <is>
          <t>Official strategy describes controlling PE investments.</t>
        </is>
      </c>
      <c r="W12" s="3" t="inlineStr">
        <is>
          <t>https://www.naviscapital.com/private-equity/the-navis-approach/</t>
        </is>
      </c>
      <c r="X12" s="4" t="n">
        <v>46301</v>
      </c>
    </row>
  </sheetData>
  <autoFilter ref="A1:X12"/>
  <hyperlinks>
    <hyperlink xmlns:r="http://schemas.openxmlformats.org/officeDocument/2006/relationships" ref="S2" r:id="rId1"/>
    <hyperlink xmlns:r="http://schemas.openxmlformats.org/officeDocument/2006/relationships" ref="W2" r:id="rId2"/>
    <hyperlink xmlns:r="http://schemas.openxmlformats.org/officeDocument/2006/relationships" ref="S3" r:id="rId3"/>
    <hyperlink xmlns:r="http://schemas.openxmlformats.org/officeDocument/2006/relationships" ref="W3" r:id="rId4"/>
    <hyperlink xmlns:r="http://schemas.openxmlformats.org/officeDocument/2006/relationships" ref="S4" r:id="rId5"/>
    <hyperlink xmlns:r="http://schemas.openxmlformats.org/officeDocument/2006/relationships" ref="W4" r:id="rId6"/>
    <hyperlink xmlns:r="http://schemas.openxmlformats.org/officeDocument/2006/relationships" ref="S5" r:id="rId7"/>
    <hyperlink xmlns:r="http://schemas.openxmlformats.org/officeDocument/2006/relationships" ref="W5" r:id="rId8"/>
    <hyperlink xmlns:r="http://schemas.openxmlformats.org/officeDocument/2006/relationships" ref="S6" r:id="rId9"/>
    <hyperlink xmlns:r="http://schemas.openxmlformats.org/officeDocument/2006/relationships" ref="W6" r:id="rId10"/>
    <hyperlink xmlns:r="http://schemas.openxmlformats.org/officeDocument/2006/relationships" ref="S7" r:id="rId11"/>
    <hyperlink xmlns:r="http://schemas.openxmlformats.org/officeDocument/2006/relationships" ref="W7" r:id="rId12"/>
    <hyperlink xmlns:r="http://schemas.openxmlformats.org/officeDocument/2006/relationships" ref="S8" r:id="rId13"/>
    <hyperlink xmlns:r="http://schemas.openxmlformats.org/officeDocument/2006/relationships" ref="W8" r:id="rId14"/>
    <hyperlink xmlns:r="http://schemas.openxmlformats.org/officeDocument/2006/relationships" ref="S9" r:id="rId15"/>
    <hyperlink xmlns:r="http://schemas.openxmlformats.org/officeDocument/2006/relationships" ref="W9" r:id="rId16"/>
    <hyperlink xmlns:r="http://schemas.openxmlformats.org/officeDocument/2006/relationships" ref="S10" r:id="rId17"/>
    <hyperlink xmlns:r="http://schemas.openxmlformats.org/officeDocument/2006/relationships" ref="W10" r:id="rId18"/>
    <hyperlink xmlns:r="http://schemas.openxmlformats.org/officeDocument/2006/relationships" ref="S11" r:id="rId19"/>
    <hyperlink xmlns:r="http://schemas.openxmlformats.org/officeDocument/2006/relationships" ref="W11" r:id="rId20"/>
    <hyperlink xmlns:r="http://schemas.openxmlformats.org/officeDocument/2006/relationships" ref="S12" r:id="rId21"/>
    <hyperlink xmlns:r="http://schemas.openxmlformats.org/officeDocument/2006/relationships" ref="W12" r:id="rId2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3"/>
  </tableParts>
</worksheet>
</file>

<file path=xl/worksheets/sheet7.xml><?xml version="1.0" encoding="utf-8"?>
<worksheet xmlns="http://schemas.openxmlformats.org/spreadsheetml/2006/main">
  <sheetPr>
    <tabColor rgb="00007F86"/>
    <outlinePr summaryBelow="1" summaryRight="1"/>
    <pageSetUpPr fitToPage="1"/>
  </sheetPr>
  <dimension ref="A1:X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34" customWidth="1" min="4" max="4"/>
    <col width="26" customWidth="1" min="5" max="5"/>
    <col width="26" customWidth="1" min="6" max="6"/>
    <col width="34" customWidth="1" min="7" max="7"/>
    <col width="3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62" customWidth="1" min="16" max="16"/>
    <col width="45" customWidth="1" min="17" max="17"/>
    <col width="44" customWidth="1" min="18" max="18"/>
    <col width="48" customWidth="1" min="19" max="19"/>
    <col width="45" customWidth="1" min="20" max="20"/>
    <col width="62" customWidth="1" min="21" max="21"/>
    <col width="50" customWidth="1" min="22" max="22"/>
    <col width="48" customWidth="1" min="23" max="23"/>
    <col width="17" customWidth="1" min="24" max="24"/>
  </cols>
  <sheetData>
    <row r="1" ht="32" customHeight="1">
      <c r="A1" s="1" t="inlineStr">
        <is>
          <t>Prospect ID</t>
        </is>
      </c>
      <c r="B1" s="1" t="inlineStr">
        <is>
          <t>Country</t>
        </is>
      </c>
      <c r="C1" s="1" t="inlineStr">
        <is>
          <t>Country rank</t>
        </is>
      </c>
      <c r="D1" s="1" t="inlineStr">
        <is>
          <t>Organization / programme</t>
        </is>
      </c>
      <c r="E1" s="1" t="inlineStr">
        <is>
          <t>Category</t>
        </is>
      </c>
      <c r="F1" s="1" t="inlineStr">
        <is>
          <t>Instrument</t>
        </is>
      </c>
      <c r="G1" s="1" t="inlineStr">
        <is>
          <t>Relevant vertical / product</t>
        </is>
      </c>
      <c r="H1" s="1" t="inlineStr">
        <is>
          <t>Pre-revenue stage evidence</t>
        </is>
      </c>
      <c r="I1" s="1" t="inlineStr">
        <is>
          <t>Route</t>
        </is>
      </c>
      <c r="J1" s="1" t="inlineStr">
        <is>
          <t>Engagement outlook</t>
        </is>
      </c>
      <c r="K1" s="1" t="inlineStr">
        <is>
          <t>Direct cash outlook</t>
        </is>
      </c>
      <c r="L1" s="1" t="inlineStr">
        <is>
          <t>Relevance (1-5)</t>
        </is>
      </c>
      <c r="M1" s="1" t="inlineStr">
        <is>
          <t>Accessibility (1-5)</t>
        </is>
      </c>
      <c r="N1" s="1" t="inlineStr">
        <is>
          <t>Readiness (1-5)</t>
        </is>
      </c>
      <c r="O1" s="1" t="inlineStr">
        <is>
          <t>Priority score /100</t>
        </is>
      </c>
      <c r="P1" s="1" t="inlineStr">
        <is>
          <t>Eligibility / blockers</t>
        </is>
      </c>
      <c r="Q1" s="1" t="inlineStr">
        <is>
          <t>Current status</t>
        </is>
      </c>
      <c r="R1" s="1" t="inlineStr">
        <is>
          <t>Public contact / team</t>
        </is>
      </c>
      <c r="S1" s="1" t="inlineStr">
        <is>
          <t>Contact / apply URL</t>
        </is>
      </c>
      <c r="T1" s="1" t="inlineStr">
        <is>
          <t>Published benefit / terms</t>
        </is>
      </c>
      <c r="U1" s="1" t="inlineStr">
        <is>
          <t>Tailored first ask</t>
        </is>
      </c>
      <c r="V1" s="1" t="inlineStr">
        <is>
          <t>Evidence summary</t>
        </is>
      </c>
      <c r="W1" s="1" t="inlineStr">
        <is>
          <t>Official source URL</t>
        </is>
      </c>
      <c r="X1" s="1" t="inlineStr">
        <is>
          <t>Checked date</t>
        </is>
      </c>
    </row>
    <row r="2" ht="78" customHeight="1">
      <c r="A2" s="2" t="inlineStr">
        <is>
          <t>CC-042</t>
        </is>
      </c>
      <c r="B2" s="2" t="inlineStr">
        <is>
          <t>India</t>
        </is>
      </c>
      <c r="C2" s="2" t="n">
        <v>1</v>
      </c>
      <c r="D2" s="2" t="inlineStr">
        <is>
          <t>IIT Madras Research Park Energy &amp; Sustainability</t>
        </is>
      </c>
      <c r="E2" s="2" t="inlineStr">
        <is>
          <t>Academia / ecosystem</t>
        </is>
      </c>
      <c r="F2" s="2" t="inlineStr">
        <is>
          <t>Validation / industry co-development</t>
        </is>
      </c>
      <c r="G2" s="2" t="inlineStr">
        <is>
          <t>Energy / factories / buildings</t>
        </is>
      </c>
      <c r="H2" s="2" t="inlineStr">
        <is>
          <t>Industry collaboration route</t>
        </is>
      </c>
      <c r="I2" s="2" t="inlineStr">
        <is>
          <t>Contact now</t>
        </is>
      </c>
      <c r="J2" s="2" t="inlineStr">
        <is>
          <t>High</t>
        </is>
      </c>
      <c r="K2" s="2" t="inlineStr">
        <is>
          <t>No direct cash confirmed</t>
        </is>
      </c>
      <c r="L2" s="2" t="n">
        <v>5</v>
      </c>
      <c r="M2" s="2" t="n">
        <v>4</v>
      </c>
      <c r="N2" s="2" t="n">
        <v>4</v>
      </c>
      <c r="O2" s="2" t="n">
        <v>90</v>
      </c>
      <c r="P2" s="2" t="inlineStr">
        <is>
          <t>Project scope, lab costs and IP; no grant guarantee.</t>
        </is>
      </c>
      <c r="Q2" s="2" t="inlineStr">
        <is>
          <t>Dedicated energy mailbox published</t>
        </is>
      </c>
      <c r="R2" s="2" t="inlineStr">
        <is>
          <t>energy@respark.iitm.ac.in</t>
        </is>
      </c>
      <c r="S2" s="3" t="inlineStr">
        <is>
          <t>https://respark.iitm.ac.in/energy-sustainability</t>
        </is>
      </c>
      <c r="T2" s="2" t="inlineStr">
        <is>
          <t>Not publicly confirmed; request current terms</t>
        </is>
      </c>
      <c r="U2" s="2" t="inlineStr">
        <is>
          <t>Request CK/ESG measurement-validation partner and industrial energy pilot.</t>
        </is>
      </c>
      <c r="V2" s="2" t="inlineStr">
        <is>
          <t>Official energy/sustainability programme with direct contact.</t>
        </is>
      </c>
      <c r="W2" s="3" t="inlineStr">
        <is>
          <t>https://respark.iitm.ac.in/energy-sustainability</t>
        </is>
      </c>
      <c r="X2" s="4" t="n">
        <v>46301</v>
      </c>
    </row>
    <row r="3" ht="78" customHeight="1">
      <c r="A3" s="2" t="inlineStr">
        <is>
          <t>CC-043</t>
        </is>
      </c>
      <c r="B3" s="2" t="inlineStr">
        <is>
          <t>India</t>
        </is>
      </c>
      <c r="C3" s="2" t="n">
        <v>2</v>
      </c>
      <c r="D3" s="2" t="inlineStr">
        <is>
          <t>IIT Madras Incubation Cell</t>
        </is>
      </c>
      <c r="E3" s="2" t="inlineStr">
        <is>
          <t>Academia / incubator</t>
        </is>
      </c>
      <c r="F3" s="2" t="inlineStr">
        <is>
          <t>Incubation / investor introductions</t>
        </is>
      </c>
      <c r="G3" s="2" t="inlineStr">
        <is>
          <t>Deep tech / climate / health / industrial</t>
        </is>
      </c>
      <c r="H3" s="2" t="inlineStr">
        <is>
          <t>Startup incubation; acceptance discretionary</t>
        </is>
      </c>
      <c r="I3" s="2" t="inlineStr">
        <is>
          <t>Contact now</t>
        </is>
      </c>
      <c r="J3" s="2" t="inlineStr">
        <is>
          <t>High</t>
        </is>
      </c>
      <c r="K3" s="2" t="inlineStr">
        <is>
          <t>No direct cash confirmed</t>
        </is>
      </c>
      <c r="L3" s="2" t="n">
        <v>5</v>
      </c>
      <c r="M3" s="2" t="n">
        <v>4</v>
      </c>
      <c r="N3" s="2" t="n">
        <v>4</v>
      </c>
      <c r="O3" s="2" t="n">
        <v>90</v>
      </c>
      <c r="P3" s="2" t="inlineStr">
        <is>
          <t>Current intake and entity/IP rules; specific Oct5 2026 grant call has passed per official social post, not assumed open.</t>
        </is>
      </c>
      <c r="Q3" s="2" t="inlineStr">
        <is>
          <t>General incubation inquiry available; programme-specific deadlines to check</t>
        </is>
      </c>
      <c r="R3" s="2" t="inlineStr">
        <is>
          <t>office@incubation.iitm.ac.in</t>
        </is>
      </c>
      <c r="S3" s="3" t="inlineStr">
        <is>
          <t>https://respark.iitm.ac.in/startups</t>
        </is>
      </c>
      <c r="T3" s="2" t="inlineStr">
        <is>
          <t>Not publicly confirmed; request current terms</t>
        </is>
      </c>
      <c r="U3" s="2" t="inlineStr">
        <is>
          <t>Ask admission fit for IIL/US licensed-IP structure and available seed routes.</t>
        </is>
      </c>
      <c r="V3" s="2" t="inlineStr">
        <is>
          <t>Official institute describes deep-tech hub; Research Park gives mailbox.</t>
        </is>
      </c>
      <c r="W3" s="3" t="inlineStr">
        <is>
          <t>https://www.iitm.ac.in/research-park/incubation-cell</t>
        </is>
      </c>
      <c r="X3" s="4" t="n">
        <v>46301</v>
      </c>
    </row>
    <row r="4" ht="78" customHeight="1">
      <c r="A4" s="2" t="inlineStr">
        <is>
          <t>CC-044</t>
        </is>
      </c>
      <c r="B4" s="2" t="inlineStr">
        <is>
          <t>India</t>
        </is>
      </c>
      <c r="C4" s="2" t="n">
        <v>3</v>
      </c>
      <c r="D4" s="2" t="inlineStr">
        <is>
          <t>MeitY–nasscom CoE IoT &amp; AI</t>
        </is>
      </c>
      <c r="E4" s="2" t="inlineStr">
        <is>
          <t>Industry / government ecosystem</t>
        </is>
      </c>
      <c r="F4" s="2" t="inlineStr">
        <is>
          <t>Incubation / industry problem matching</t>
        </is>
      </c>
      <c r="G4" s="2" t="inlineStr">
        <is>
          <t>Manufacturing / health / AIoT / data centers</t>
        </is>
      </c>
      <c r="H4" s="2" t="inlineStr">
        <is>
          <t>Indian deep-tech startup pathway</t>
        </is>
      </c>
      <c r="I4" s="2" t="inlineStr">
        <is>
          <t>Contact now</t>
        </is>
      </c>
      <c r="J4" s="2" t="inlineStr">
        <is>
          <t>High</t>
        </is>
      </c>
      <c r="K4" s="2" t="inlineStr">
        <is>
          <t>No direct cash confirmed</t>
        </is>
      </c>
      <c r="L4" s="2" t="n">
        <v>5</v>
      </c>
      <c r="M4" s="2" t="n">
        <v>4</v>
      </c>
      <c r="N4" s="2" t="n">
        <v>4</v>
      </c>
      <c r="O4" s="2" t="n">
        <v>90</v>
      </c>
      <c r="P4" s="2" t="inlineStr">
        <is>
          <t>Indian entity and programme rules; equity/fees/current intake confirm.</t>
        </is>
      </c>
      <c r="Q4" s="2" t="inlineStr">
        <is>
          <t>Official government incubator contact listed</t>
        </is>
      </c>
      <c r="R4" s="2" t="inlineStr">
        <is>
          <t>coe-iot@nasscom.in</t>
        </is>
      </c>
      <c r="S4" s="3" t="inlineStr">
        <is>
          <t>https://startupharyana.gov.in/front/incubator/dbeab2eb-1777-4119-b5b1-5affdef89a10</t>
        </is>
      </c>
      <c r="T4" s="2" t="inlineStr">
        <is>
          <t>Not publicly confirmed; request current terms</t>
        </is>
      </c>
      <c r="U4" s="2" t="inlineStr">
        <is>
          <t>Request corporate pilot matchmaking for industrial anomaly/PdM and infrastructure ESG.</t>
        </is>
      </c>
      <c r="V4" s="2" t="inlineStr">
        <is>
          <t>Government portal lists CoE mission and public email.</t>
        </is>
      </c>
      <c r="W4" s="3" t="inlineStr">
        <is>
          <t>https://startupharyana.gov.in/front/incubator/dbeab2eb-1777-4119-b5b1-5affdef89a10</t>
        </is>
      </c>
      <c r="X4" s="4" t="n">
        <v>46301</v>
      </c>
    </row>
    <row r="5" ht="78" customHeight="1">
      <c r="A5" s="2" t="inlineStr">
        <is>
          <t>CC-045</t>
        </is>
      </c>
      <c r="B5" s="2" t="inlineStr">
        <is>
          <t>India</t>
        </is>
      </c>
      <c r="C5" s="2" t="n">
        <v>4</v>
      </c>
      <c r="D5" s="2" t="inlineStr">
        <is>
          <t>CII Indian Green Building Council</t>
        </is>
      </c>
      <c r="E5" s="2" t="inlineStr">
        <is>
          <t>Industry consortium</t>
        </is>
      </c>
      <c r="F5" s="2" t="inlineStr">
        <is>
          <t>Owner network / certification; no seed capital</t>
        </is>
      </c>
      <c r="G5" s="2" t="inlineStr">
        <is>
          <t>Hotels / hospitals / residential / data centers</t>
        </is>
      </c>
      <c r="H5" s="2" t="inlineStr">
        <is>
          <t>Supplier ecosystem route</t>
        </is>
      </c>
      <c r="I5" s="2" t="inlineStr">
        <is>
          <t>Contact now</t>
        </is>
      </c>
      <c r="J5" s="2" t="inlineStr">
        <is>
          <t>High</t>
        </is>
      </c>
      <c r="K5" s="2" t="inlineStr">
        <is>
          <t>No direct cash confirmed</t>
        </is>
      </c>
      <c r="L5" s="2" t="n">
        <v>5</v>
      </c>
      <c r="M5" s="2" t="n">
        <v>4</v>
      </c>
      <c r="N5" s="2" t="n">
        <v>4</v>
      </c>
      <c r="O5" s="2" t="n">
        <v>90</v>
      </c>
      <c r="P5" s="2" t="inlineStr">
        <is>
          <t>Membership fees; solutions must meet actual certification scope.</t>
        </is>
      </c>
      <c r="Q5" s="2" t="inlineStr">
        <is>
          <t>Official membership/contact</t>
        </is>
      </c>
      <c r="R5" s="2" t="inlineStr">
        <is>
          <t>igbc@cii.in</t>
        </is>
      </c>
      <c r="S5" s="3" t="inlineStr">
        <is>
          <t>https://www.igbc.in/contact-us</t>
        </is>
      </c>
      <c r="T5" s="2" t="inlineStr">
        <is>
          <t>Not publicly confirmed; request current terms</t>
        </is>
      </c>
      <c r="U5" s="2" t="inlineStr">
        <is>
          <t>Ask Tamil Nadu pilot-owner and consultant introductions for energy/AQ/comfort measurements.</t>
        </is>
      </c>
      <c r="V5" s="2" t="inlineStr">
        <is>
          <t>Official organizational membership and contact published.</t>
        </is>
      </c>
      <c r="W5" s="3" t="inlineStr">
        <is>
          <t>https://www.igbc.in/organisational-membership</t>
        </is>
      </c>
      <c r="X5" s="4" t="n">
        <v>46301</v>
      </c>
    </row>
    <row r="6" ht="78" customHeight="1">
      <c r="A6" s="2" t="inlineStr">
        <is>
          <t>CC-046</t>
        </is>
      </c>
      <c r="B6" s="2" t="inlineStr">
        <is>
          <t>India</t>
        </is>
      </c>
      <c r="C6" s="2" t="n">
        <v>5</v>
      </c>
      <c r="D6" s="2" t="inlineStr">
        <is>
          <t>Transition VC</t>
        </is>
      </c>
      <c r="E6" s="2" t="inlineStr">
        <is>
          <t>VC</t>
        </is>
      </c>
      <c r="F6" s="2" t="inlineStr">
        <is>
          <t>Equity</t>
        </is>
      </c>
      <c r="G6" s="2" t="inlineStr">
        <is>
          <t>Energy transition / industrial / climate</t>
        </is>
      </c>
      <c r="H6" s="2" t="inlineStr">
        <is>
          <t>Pre-seed to Series A stated</t>
        </is>
      </c>
      <c r="I6" s="2" t="inlineStr">
        <is>
          <t>Contact now</t>
        </is>
      </c>
      <c r="J6" s="2" t="inlineStr">
        <is>
          <t>Medium</t>
        </is>
      </c>
      <c r="K6" s="2" t="inlineStr">
        <is>
          <t>Low to medium / competitive</t>
        </is>
      </c>
      <c r="L6" s="2" t="n">
        <v>5</v>
      </c>
      <c r="M6" s="2" t="n">
        <v>3</v>
      </c>
      <c r="N6" s="2" t="n">
        <v>3</v>
      </c>
      <c r="O6" s="2" t="n">
        <v>80</v>
      </c>
      <c r="P6" s="2" t="inlineStr">
        <is>
          <t>Indian deployment case; defensible energy impact and investable entity/IP.</t>
        </is>
      </c>
      <c r="Q6" s="2" t="inlineStr">
        <is>
          <t>Official mandate and contact route</t>
        </is>
      </c>
      <c r="R6" s="2" t="inlineStr">
        <is>
          <t>Investment team via contact form</t>
        </is>
      </c>
      <c r="S6" s="3" t="inlineStr">
        <is>
          <t>https://www.transitionventurecapital.com/contact</t>
        </is>
      </c>
      <c r="T6" s="2" t="inlineStr">
        <is>
          <t>Not publicly confirmed; request current terms</t>
        </is>
      </c>
      <c r="U6" s="2" t="inlineStr">
        <is>
          <t>Pitch one industrial/building conservation wedge and first paid-pilot milestones.</t>
        </is>
      </c>
      <c r="V6" s="2" t="inlineStr">
        <is>
          <t>Official energy-transition fund states pre-seed to Series A.</t>
        </is>
      </c>
      <c r="W6" s="3" t="inlineStr">
        <is>
          <t>https://www.transitionventurecapital.com/</t>
        </is>
      </c>
      <c r="X6" s="4" t="n">
        <v>46301</v>
      </c>
    </row>
    <row r="7" ht="78" customHeight="1">
      <c r="A7" s="2" t="inlineStr">
        <is>
          <t>CC-047</t>
        </is>
      </c>
      <c r="B7" s="2" t="inlineStr">
        <is>
          <t>India</t>
        </is>
      </c>
      <c r="C7" s="2" t="n">
        <v>6</v>
      </c>
      <c r="D7" s="2" t="inlineStr">
        <is>
          <t>BEE Energy Efficiency Financing Platform</t>
        </is>
      </c>
      <c r="E7" s="2" t="inlineStr">
        <is>
          <t>Government / industry network</t>
        </is>
      </c>
      <c r="F7" s="2" t="inlineStr">
        <is>
          <t>Customer project finance facilitation</t>
        </is>
      </c>
      <c r="G7" s="2" t="inlineStr">
        <is>
          <t>Factories / buildings / MSMEs</t>
        </is>
      </c>
      <c r="H7" s="2" t="inlineStr">
        <is>
          <t>Technology supplier/ESCO route</t>
        </is>
      </c>
      <c r="I7" s="2" t="inlineStr">
        <is>
          <t>Contact now</t>
        </is>
      </c>
      <c r="J7" s="2" t="inlineStr">
        <is>
          <t>Medium</t>
        </is>
      </c>
      <c r="K7" s="2" t="inlineStr">
        <is>
          <t>No direct cash confirmed</t>
        </is>
      </c>
      <c r="L7" s="2" t="n">
        <v>5</v>
      </c>
      <c r="M7" s="2" t="n">
        <v>3</v>
      </c>
      <c r="N7" s="2" t="n">
        <v>3</v>
      </c>
      <c r="O7" s="2" t="n">
        <v>80</v>
      </c>
      <c r="P7" s="2" t="inlineStr">
        <is>
          <t>Not a grant to Inspironics; qualifying customer project and finance appraisal needed.</t>
        </is>
      </c>
      <c r="Q7" s="2" t="inlineStr">
        <is>
          <t>Official finance programme and officer contact</t>
        </is>
      </c>
      <c r="R7" s="2" t="inlineStr">
        <is>
          <t>Sunil Kumar Verma | sk.verma@beeindia.gov.in | 011-26766700</t>
        </is>
      </c>
      <c r="S7" s="3" t="inlineStr">
        <is>
          <t>https://www.beeindia.gov.in/show_content.php?lang=1&amp;level=2&amp;lid=419&amp;ls_id=344</t>
        </is>
      </c>
      <c r="T7" s="2" t="inlineStr">
        <is>
          <t>Not publicly confirmed; request current terms</t>
        </is>
      </c>
      <c r="U7" s="2" t="inlineStr">
        <is>
          <t>Ask technology-provider participation and ESCO/MSME pilot financing introductions.</t>
        </is>
      </c>
      <c r="V7" s="2" t="inlineStr">
        <is>
          <t>Official EEFP brings financiers and project developers together and references IoT MSME collaboration.</t>
        </is>
      </c>
      <c r="W7" s="3" t="inlineStr">
        <is>
          <t>https://www.beeindia.gov.in/show_content.php?lang=1&amp;level=2&amp;lid=419&amp;ls_id=344</t>
        </is>
      </c>
      <c r="X7" s="4" t="n">
        <v>46301</v>
      </c>
    </row>
    <row r="8" ht="78" customHeight="1">
      <c r="A8" s="2" t="inlineStr">
        <is>
          <t>CC-048</t>
        </is>
      </c>
      <c r="B8" s="2" t="inlineStr">
        <is>
          <t>India</t>
        </is>
      </c>
      <c r="C8" s="2" t="n">
        <v>7</v>
      </c>
      <c r="D8" s="2" t="inlineStr">
        <is>
          <t>Speciale Invest</t>
        </is>
      </c>
      <c r="E8" s="2" t="inlineStr">
        <is>
          <t>VC</t>
        </is>
      </c>
      <c r="F8" s="2" t="inlineStr">
        <is>
          <t>Equity</t>
        </is>
      </c>
      <c r="G8" s="2" t="inlineStr">
        <is>
          <t>Deep-tech hardware / software / AI</t>
        </is>
      </c>
      <c r="H8" s="2" t="inlineStr">
        <is>
          <t>Deep-tech early-stage candidate; current stage screen needed</t>
        </is>
      </c>
      <c r="I8" s="2" t="inlineStr">
        <is>
          <t>Contact now</t>
        </is>
      </c>
      <c r="J8" s="2" t="inlineStr">
        <is>
          <t>Medium</t>
        </is>
      </c>
      <c r="K8" s="2" t="inlineStr">
        <is>
          <t>Low to medium / competitive</t>
        </is>
      </c>
      <c r="L8" s="2" t="n">
        <v>4</v>
      </c>
      <c r="M8" s="2" t="n">
        <v>3</v>
      </c>
      <c r="N8" s="2" t="n">
        <v>3</v>
      </c>
      <c r="O8" s="2" t="n">
        <v>70</v>
      </c>
      <c r="P8" s="2" t="inlineStr">
        <is>
          <t>Proprietary engineering innovation required; generic multi-product SaaS weak fit.</t>
        </is>
      </c>
      <c r="Q8" s="2" t="inlineStr">
        <is>
          <t>Official contact route</t>
        </is>
      </c>
      <c r="R8" s="2" t="inlineStr">
        <is>
          <t>info@specialeinvest.com</t>
        </is>
      </c>
      <c r="S8" s="3" t="inlineStr">
        <is>
          <t>https://www.specialeinvest.com/contact</t>
        </is>
      </c>
      <c r="T8" s="2" t="inlineStr">
        <is>
          <t>Not publicly confirmed; request current terms</t>
        </is>
      </c>
      <c r="U8" s="2" t="inlineStr">
        <is>
          <t>Request screening of core sensor intelligence and PdM model IP with technical demo.</t>
        </is>
      </c>
      <c r="V8" s="2" t="inlineStr">
        <is>
          <t>Official mandate covers science- and engineering-first hardware/software.</t>
        </is>
      </c>
      <c r="W8" s="3" t="inlineStr">
        <is>
          <t>https://www.specialeinvest.com/about</t>
        </is>
      </c>
      <c r="X8" s="4" t="n">
        <v>46301</v>
      </c>
    </row>
    <row r="9" ht="78" customHeight="1">
      <c r="A9" s="2" t="inlineStr">
        <is>
          <t>CC-049</t>
        </is>
      </c>
      <c r="B9" s="2" t="inlineStr">
        <is>
          <t>India</t>
        </is>
      </c>
      <c r="C9" s="2" t="n">
        <v>8</v>
      </c>
      <c r="D9" s="2" t="inlineStr">
        <is>
          <t>Anicut Seed Fund</t>
        </is>
      </c>
      <c r="E9" s="2" t="inlineStr">
        <is>
          <t>VC / angel platform</t>
        </is>
      </c>
      <c r="F9" s="2" t="inlineStr">
        <is>
          <t>Seed equity</t>
        </is>
      </c>
      <c r="G9" s="2" t="inlineStr">
        <is>
          <t>B2B / SaaS / industrial</t>
        </is>
      </c>
      <c r="H9" s="2" t="inlineStr">
        <is>
          <t>Seed to pre-Series A stated</t>
        </is>
      </c>
      <c r="I9" s="2" t="inlineStr">
        <is>
          <t>Contact now</t>
        </is>
      </c>
      <c r="J9" s="2" t="inlineStr">
        <is>
          <t>Medium</t>
        </is>
      </c>
      <c r="K9" s="2" t="inlineStr">
        <is>
          <t>Low to medium / competitive</t>
        </is>
      </c>
      <c r="L9" s="2" t="n">
        <v>4</v>
      </c>
      <c r="M9" s="2" t="n">
        <v>3</v>
      </c>
      <c r="N9" s="2" t="n">
        <v>3</v>
      </c>
      <c r="O9" s="2" t="n">
        <v>70</v>
      </c>
      <c r="P9" s="2" t="inlineStr">
        <is>
          <t>Seed mandate not proof of pre-revenue acceptance; unit economics and India entity/IP clarity.</t>
        </is>
      </c>
      <c r="Q9" s="2" t="inlineStr">
        <is>
          <t>Official seed strategy/contact</t>
        </is>
      </c>
      <c r="R9" s="2" t="inlineStr">
        <is>
          <t>reachus@anicutcapital.com</t>
        </is>
      </c>
      <c r="S9" s="3" t="inlineStr">
        <is>
          <t>https://www.anicutcapital.com/contact/</t>
        </is>
      </c>
      <c r="T9" s="2" t="inlineStr">
        <is>
          <t>Not publicly confirmed; request current terms</t>
        </is>
      </c>
      <c r="U9" s="2" t="inlineStr">
        <is>
          <t>Ask pre-revenue stage-fit for a tightly scoped commercial launch round.</t>
        </is>
      </c>
      <c r="V9" s="2" t="inlineStr">
        <is>
          <t>Official seed fund describes stage and investment pillars.</t>
        </is>
      </c>
      <c r="W9" s="3" t="inlineStr">
        <is>
          <t>https://www.anicutcapital.com/seed/</t>
        </is>
      </c>
      <c r="X9" s="4" t="n">
        <v>46301</v>
      </c>
    </row>
    <row r="10" ht="78" customHeight="1">
      <c r="A10" s="2" t="inlineStr">
        <is>
          <t>CC-050</t>
        </is>
      </c>
      <c r="B10" s="2" t="inlineStr">
        <is>
          <t>India</t>
        </is>
      </c>
      <c r="C10" s="2" t="n">
        <v>9</v>
      </c>
      <c r="D10" s="2" t="inlineStr">
        <is>
          <t>StartupTN TANSEED</t>
        </is>
      </c>
      <c r="E10" s="2" t="inlineStr">
        <is>
          <t>State seed support</t>
        </is>
      </c>
      <c r="F10" s="2" t="inlineStr">
        <is>
          <t>Equity-linked support; current terms needed</t>
        </is>
      </c>
      <c r="G10" s="2" t="inlineStr">
        <is>
          <t>Climate / rural / agriculture / technology</t>
        </is>
      </c>
      <c r="H10" s="2" t="inlineStr">
        <is>
          <t>Early-stage programme</t>
        </is>
      </c>
      <c r="I10" s="2" t="inlineStr">
        <is>
          <t>Conditional screen</t>
        </is>
      </c>
      <c r="J10" s="2" t="inlineStr">
        <is>
          <t>Low</t>
        </is>
      </c>
      <c r="K10" s="2" t="inlineStr">
        <is>
          <t>Very low until gates cleared</t>
        </is>
      </c>
      <c r="L10" s="2" t="n">
        <v>4</v>
      </c>
      <c r="M10" s="2" t="n">
        <v>2</v>
      </c>
      <c r="N10" s="2" t="n">
        <v>2</v>
      </c>
      <c r="O10" s="2" t="n">
        <v>60</v>
      </c>
      <c r="P10" s="2" t="inlineStr">
        <is>
          <t>TN registration/operations, StartupTN/DPIIT and ownership rules need current confirmation; foreign founder and IIL entity to screen.</t>
        </is>
      </c>
      <c r="Q10" s="2" t="inlineStr">
        <is>
          <t>Previous rounds evidenced; current call unverified</t>
        </is>
      </c>
      <c r="R10" s="2" t="inlineStr">
        <is>
          <t>tanseed@startuptn.in</t>
        </is>
      </c>
      <c r="S10" s="3" t="inlineStr">
        <is>
          <t>https://startuptn.in/</t>
        </is>
      </c>
      <c r="T10" s="2" t="inlineStr">
        <is>
          <t>Historic overview up to ₹15 lakh priority sectors / ₹10 lakh others; current offer unverified.</t>
        </is>
      </c>
      <c r="U10" s="2" t="inlineStr">
        <is>
          <t>Ask eligibility of current IIL structure and next round, including equity terms.</t>
        </is>
      </c>
      <c r="V10" s="2" t="inlineStr">
        <is>
          <t>Government overview calls TANSEED equity-linked; do not assume non-dilutive.</t>
        </is>
      </c>
      <c r="W10" s="3" t="inlineStr">
        <is>
          <t>https://www.startupindia.gov.in/srf/portal/SRF_2022_Result_page/Tamil_Nadu.pdf</t>
        </is>
      </c>
      <c r="X10" s="4" t="n">
        <v>46301</v>
      </c>
    </row>
    <row r="11" ht="78" customHeight="1">
      <c r="A11" s="2" t="inlineStr">
        <is>
          <t>CC-051</t>
        </is>
      </c>
      <c r="B11" s="2" t="inlineStr">
        <is>
          <t>India</t>
        </is>
      </c>
      <c r="C11" s="2" t="n">
        <v>10</v>
      </c>
      <c r="D11" s="2" t="inlineStr">
        <is>
          <t>Startup India Seed Fund Scheme (SISFS)</t>
        </is>
      </c>
      <c r="E11" s="2" t="inlineStr">
        <is>
          <t>Government seed fund</t>
        </is>
      </c>
      <c r="F11" s="2" t="inlineStr">
        <is>
          <t>POC grant / debt-convertible support</t>
        </is>
      </c>
      <c r="G11" s="2" t="inlineStr">
        <is>
          <t>Energy / water / agriculture / healthcare</t>
        </is>
      </c>
      <c r="H11" s="2" t="inlineStr">
        <is>
          <t>DPIIT startup &lt;=2 years at application</t>
        </is>
      </c>
      <c r="I11" s="2" t="inlineStr">
        <is>
          <t>Eligibility gate first</t>
        </is>
      </c>
      <c r="J11" s="2" t="inlineStr">
        <is>
          <t>Very low</t>
        </is>
      </c>
      <c r="K11" s="2" t="inlineStr">
        <is>
          <t>Very low until gates cleared</t>
        </is>
      </c>
      <c r="L11" s="2" t="n">
        <v>4</v>
      </c>
      <c r="M11" s="2" t="n">
        <v>1</v>
      </c>
      <c r="N11" s="2" t="n">
        <v>2</v>
      </c>
      <c r="O11" s="2" t="n">
        <v>54</v>
      </c>
      <c r="P11" s="2" t="inlineStr">
        <is>
          <t>At least 51% Indian-promoter shareholding; US parent ineligible. CXPL 75% FDI likely fails; IIL age/ownership unverified.</t>
        </is>
      </c>
      <c r="Q11" s="2" t="inlineStr">
        <is>
          <t>Portal/guidelines available; incubator allocation unconfirmed</t>
        </is>
      </c>
      <c r="R11" s="2" t="inlineStr">
        <is>
          <t>Application through official SISFS portal / selected incubators</t>
        </is>
      </c>
      <c r="S11" s="3" t="inlineStr">
        <is>
          <t>https://seedfund.startupindia.gov.in/faq</t>
        </is>
      </c>
      <c r="T11" s="2" t="inlineStr">
        <is>
          <t>Up to ₹20 lakh grant; up to ₹50 lakh debt/convertible support, not all grant.</t>
        </is>
      </c>
      <c r="U11" s="2" t="inlineStr">
        <is>
          <t>Eligibility inquiry only; do not apply using an entity that fails ownership/age.</t>
        </is>
      </c>
      <c r="V11" s="2" t="inlineStr">
        <is>
          <t>Official scheme lists incorporation-age and Indian-promoter ownership gates.</t>
        </is>
      </c>
      <c r="W11" s="3" t="inlineStr">
        <is>
          <t>https://seedfund.startupindia.gov.in/about</t>
        </is>
      </c>
      <c r="X11" s="4" t="n">
        <v>46301</v>
      </c>
    </row>
    <row r="12" ht="78" customHeight="1">
      <c r="A12" s="2" t="inlineStr">
        <is>
          <t>CC-052</t>
        </is>
      </c>
      <c r="B12" s="2" t="inlineStr">
        <is>
          <t>India</t>
        </is>
      </c>
      <c r="C12" s="2" t="n">
        <v>11</v>
      </c>
      <c r="D12" s="2" t="inlineStr">
        <is>
          <t>Everstone Capital</t>
        </is>
      </c>
      <c r="E12" s="2" t="inlineStr">
        <is>
          <t>PE</t>
        </is>
      </c>
      <c r="F12" s="2" t="inlineStr">
        <is>
          <t>Growth/control investment / portfolio route</t>
        </is>
      </c>
      <c r="G12" s="2" t="inlineStr">
        <is>
          <t>Industrial / healthcare / digital / logistics</t>
        </is>
      </c>
      <c r="H12" s="2" t="inlineStr">
        <is>
          <t>Current direct capital fit very low (analyst view)</t>
        </is>
      </c>
      <c r="I12" s="2" t="inlineStr">
        <is>
          <t>Later / portfolio route</t>
        </is>
      </c>
      <c r="J12" s="2" t="inlineStr">
        <is>
          <t>Very low</t>
        </is>
      </c>
      <c r="K12" s="2" t="inlineStr">
        <is>
          <t>Very low / defer</t>
        </is>
      </c>
      <c r="L12" s="2" t="n">
        <v>3</v>
      </c>
      <c r="M12" s="2" t="n">
        <v>1</v>
      </c>
      <c r="N12" s="2" t="n">
        <v>1</v>
      </c>
      <c r="O12" s="2" t="n">
        <v>40</v>
      </c>
      <c r="P12" s="2" t="inlineStr">
        <is>
          <t>Established PE businesses; no verified pre-revenue seed offer.</t>
        </is>
      </c>
      <c r="Q12" s="2" t="inlineStr">
        <is>
          <t>Official PE and India contact pages</t>
        </is>
      </c>
      <c r="R12" s="2" t="inlineStr">
        <is>
          <t>Mumbai office +91 22 4043 6000</t>
        </is>
      </c>
      <c r="S12" s="3" t="inlineStr">
        <is>
          <t>https://everstonecapital.com/contact/</t>
        </is>
      </c>
      <c r="T12" s="2" t="inlineStr">
        <is>
          <t>Not publicly confirmed; request current terms</t>
        </is>
      </c>
      <c r="U12" s="2" t="inlineStr">
        <is>
          <t>Seek relevant portfolio buyer/technology-pilot introduction after demonstrated outcome.</t>
        </is>
      </c>
      <c r="V12" s="2" t="inlineStr">
        <is>
          <t>Official India/SEA PE platform; contact includes fund registrations.</t>
        </is>
      </c>
      <c r="W12" s="3" t="inlineStr">
        <is>
          <t>https://everstonecapital.com/</t>
        </is>
      </c>
      <c r="X12" s="4" t="n">
        <v>46301</v>
      </c>
    </row>
  </sheetData>
  <autoFilter ref="A1:X12"/>
  <hyperlinks>
    <hyperlink xmlns:r="http://schemas.openxmlformats.org/officeDocument/2006/relationships" ref="S2" r:id="rId1"/>
    <hyperlink xmlns:r="http://schemas.openxmlformats.org/officeDocument/2006/relationships" ref="W2" r:id="rId2"/>
    <hyperlink xmlns:r="http://schemas.openxmlformats.org/officeDocument/2006/relationships" ref="S3" r:id="rId3"/>
    <hyperlink xmlns:r="http://schemas.openxmlformats.org/officeDocument/2006/relationships" ref="W3" r:id="rId4"/>
    <hyperlink xmlns:r="http://schemas.openxmlformats.org/officeDocument/2006/relationships" ref="S4" r:id="rId5"/>
    <hyperlink xmlns:r="http://schemas.openxmlformats.org/officeDocument/2006/relationships" ref="W4" r:id="rId6"/>
    <hyperlink xmlns:r="http://schemas.openxmlformats.org/officeDocument/2006/relationships" ref="S5" r:id="rId7"/>
    <hyperlink xmlns:r="http://schemas.openxmlformats.org/officeDocument/2006/relationships" ref="W5" r:id="rId8"/>
    <hyperlink xmlns:r="http://schemas.openxmlformats.org/officeDocument/2006/relationships" ref="S6" r:id="rId9"/>
    <hyperlink xmlns:r="http://schemas.openxmlformats.org/officeDocument/2006/relationships" ref="W6" r:id="rId10"/>
    <hyperlink xmlns:r="http://schemas.openxmlformats.org/officeDocument/2006/relationships" ref="S7" r:id="rId11"/>
    <hyperlink xmlns:r="http://schemas.openxmlformats.org/officeDocument/2006/relationships" ref="W7" r:id="rId12"/>
    <hyperlink xmlns:r="http://schemas.openxmlformats.org/officeDocument/2006/relationships" ref="S8" r:id="rId13"/>
    <hyperlink xmlns:r="http://schemas.openxmlformats.org/officeDocument/2006/relationships" ref="W8" r:id="rId14"/>
    <hyperlink xmlns:r="http://schemas.openxmlformats.org/officeDocument/2006/relationships" ref="S9" r:id="rId15"/>
    <hyperlink xmlns:r="http://schemas.openxmlformats.org/officeDocument/2006/relationships" ref="W9" r:id="rId16"/>
    <hyperlink xmlns:r="http://schemas.openxmlformats.org/officeDocument/2006/relationships" ref="S10" r:id="rId17"/>
    <hyperlink xmlns:r="http://schemas.openxmlformats.org/officeDocument/2006/relationships" ref="W10" r:id="rId18"/>
    <hyperlink xmlns:r="http://schemas.openxmlformats.org/officeDocument/2006/relationships" ref="S11" r:id="rId19"/>
    <hyperlink xmlns:r="http://schemas.openxmlformats.org/officeDocument/2006/relationships" ref="W11" r:id="rId20"/>
    <hyperlink xmlns:r="http://schemas.openxmlformats.org/officeDocument/2006/relationships" ref="S12" r:id="rId21"/>
    <hyperlink xmlns:r="http://schemas.openxmlformats.org/officeDocument/2006/relationships" ref="W12" r:id="rId2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3"/>
  </tableParts>
</worksheet>
</file>

<file path=xl/worksheets/sheet8.xml><?xml version="1.0" encoding="utf-8"?>
<worksheet xmlns="http://schemas.openxmlformats.org/spreadsheetml/2006/main">
  <sheetPr>
    <tabColor rgb="00FFC857"/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8" customWidth="1" min="3" max="3"/>
    <col width="70" customWidth="1" min="4" max="4"/>
    <col width="26" customWidth="1" min="5" max="5"/>
    <col width="70" customWidth="1" min="6" max="6"/>
    <col width="26" customWidth="1" min="7" max="7"/>
  </cols>
  <sheetData>
    <row r="1" ht="32" customHeight="1">
      <c r="A1" s="1" t="inlineStr">
        <is>
          <t>Gate ID</t>
        </is>
      </c>
      <c r="B1" s="1" t="inlineStr">
        <is>
          <t>Scope</t>
        </is>
      </c>
      <c r="C1" s="1" t="inlineStr">
        <is>
          <t>Decision</t>
        </is>
      </c>
      <c r="D1" s="1" t="inlineStr">
        <is>
          <t>Known issue / assumption</t>
        </is>
      </c>
      <c r="E1" s="1" t="inlineStr">
        <is>
          <t>Proposed owner</t>
        </is>
      </c>
      <c r="F1" s="1" t="inlineStr">
        <is>
          <t>Resolution action</t>
        </is>
      </c>
      <c r="G1" s="1" t="inlineStr">
        <is>
          <t>Affected prospects</t>
        </is>
      </c>
    </row>
    <row r="2" ht="78" customHeight="1">
      <c r="A2" s="2" t="inlineStr">
        <is>
          <t>G1</t>
        </is>
      </c>
      <c r="B2" s="2" t="inlineStr">
        <is>
          <t>NJ grants/vouchers</t>
        </is>
      </c>
      <c r="C2" s="2" t="inlineStr">
        <is>
          <t>US/NJ entity ≠ NJ operating eligibility</t>
        </is>
      </c>
      <c r="D2" s="2" t="inlineStr">
        <is>
          <t>CSIT voucher: &gt;=50% work hours in NJ including contractors; India-led delivery likely mismatch.</t>
        </is>
      </c>
      <c r="E2" s="2" t="inlineStr">
        <is>
          <t>Senthil + Balaji</t>
        </is>
      </c>
      <c r="F2" s="2" t="inlineStr">
        <is>
          <t>Collect actual work-hour/location schedule and tax clearance; written screening.</t>
        </is>
      </c>
      <c r="G2" s="2" t="inlineStr">
        <is>
          <t>CC register: NJ CSIT rows</t>
        </is>
      </c>
    </row>
    <row r="3" ht="78" customHeight="1">
      <c r="A3" s="2" t="inlineStr">
        <is>
          <t>G2</t>
        </is>
      </c>
      <c r="B3" s="2" t="inlineStr">
        <is>
          <t>US federal SBIR/STTR</t>
        </is>
      </c>
      <c r="C3" s="2" t="inlineStr">
        <is>
          <t>Ownership + domestic R&amp;D</t>
        </is>
      </c>
      <c r="D3" s="2" t="inlineStr">
        <is>
          <t>US founder 40% alone does not establish majority US-citizen/PR ownership/control. India R&amp;D team is separate material constraint.</t>
        </is>
      </c>
      <c r="E3" s="2" t="inlineStr">
        <is>
          <t>Senthil + counsel/CFO</t>
        </is>
      </c>
      <c r="F3" s="2" t="inlineStr">
        <is>
          <t>Reconcile current cap table and investor citizenship/status; PI employment and US work plan; programme determination.</t>
        </is>
      </c>
      <c r="G3" s="2" t="inlineStr">
        <is>
          <t>NSF / DOE rows</t>
        </is>
      </c>
    </row>
    <row r="4" ht="78" customHeight="1">
      <c r="A4" s="2" t="inlineStr">
        <is>
          <t>G3</t>
        </is>
      </c>
      <c r="B4" s="2" t="inlineStr">
        <is>
          <t>SISFS</t>
        </is>
      </c>
      <c r="C4" s="2" t="inlineStr">
        <is>
          <t>Indian promoters + startup age</t>
        </is>
      </c>
      <c r="D4" s="2" t="inlineStr">
        <is>
          <t>51% Indian-promoter ownership and &lt;=2 years incorporation. CXPL foreign majority likely fails; IIL ownership/age unknown.</t>
        </is>
      </c>
      <c r="E4" s="2" t="inlineStr">
        <is>
          <t>Senthil + Balaji</t>
        </is>
      </c>
      <c r="F4" s="2" t="inlineStr">
        <is>
          <t>Use actual entity records and incubator screening; no artificial restructure assumed.</t>
        </is>
      </c>
      <c r="G4" s="2" t="inlineStr">
        <is>
          <t>India SISFS row</t>
        </is>
      </c>
    </row>
    <row r="5" ht="78" customHeight="1">
      <c r="A5" s="2" t="inlineStr">
        <is>
          <t>G4</t>
        </is>
      </c>
      <c r="B5" s="2" t="inlineStr">
        <is>
          <t>Singapore public funding</t>
        </is>
      </c>
      <c r="C5" s="2" t="inlineStr">
        <is>
          <t>Local entity / specific programme terms</t>
        </is>
      </c>
      <c r="D5" s="2" t="inlineStr">
        <is>
          <t>Startup SG Tech overview requires 30% local shareholding; SEEDS needs Singapore startup and co-investor. GBIC is a separate research/project route.</t>
        </is>
      </c>
      <c r="E5" s="2" t="inlineStr">
        <is>
          <t>Dr. Vijendran + Senthil</t>
        </is>
      </c>
      <c r="F5" s="2" t="inlineStr">
        <is>
          <t>Ask programme directly; do not apply one ownership rule to all Singapore schemes.</t>
        </is>
      </c>
      <c r="G5" s="2" t="inlineStr">
        <is>
          <t>Singapore public programmes</t>
        </is>
      </c>
    </row>
    <row r="6" ht="78" customHeight="1">
      <c r="A6" s="2" t="inlineStr">
        <is>
          <t>G5</t>
        </is>
      </c>
      <c r="B6" s="2" t="inlineStr">
        <is>
          <t>UAE programmes</t>
        </is>
      </c>
      <c r="C6" s="2" t="inlineStr">
        <is>
          <t>Local operations and cohort</t>
        </is>
      </c>
      <c r="D6" s="2" t="inlineStr">
        <is>
          <t>Hub71 asks founder relocation. MBRIF accepts global innovators with UAE market intent. Need actual pilot/adopter plan.</t>
        </is>
      </c>
      <c r="E6" s="2" t="inlineStr">
        <is>
          <t>Senthil + YesTechnik contact</t>
        </is>
      </c>
      <c r="F6" s="2" t="inlineStr">
        <is>
          <t>Confirm local commitment and programme conditions before promising relocation.</t>
        </is>
      </c>
      <c r="G6" s="2" t="inlineStr">
        <is>
          <t>Hub71 / MBRIF</t>
        </is>
      </c>
    </row>
    <row r="7" ht="78" customHeight="1">
      <c r="A7" s="2" t="inlineStr">
        <is>
          <t>G6</t>
        </is>
      </c>
      <c r="B7" s="2" t="inlineStr">
        <is>
          <t>All equity targets</t>
        </is>
      </c>
      <c r="C7" s="2" t="inlineStr">
        <is>
          <t>Cross-border IP and cap table</t>
        </is>
      </c>
      <c r="D7" s="2" t="inlineStr">
        <is>
          <t>US platform IP, joint application IP and IIL OS-engine IP need documented rights, assignments and commercial license terms.</t>
        </is>
      </c>
      <c r="E7" s="2" t="inlineStr">
        <is>
          <t>Senthil + counsel + Kumar</t>
        </is>
      </c>
      <c r="F7" s="2" t="inlineStr">
        <is>
          <t>Prepare product/IP/entity matrix and fully reconciled cap table.</t>
        </is>
      </c>
      <c r="G7" s="2" t="inlineStr">
        <is>
          <t>All VC/PE rows</t>
        </is>
      </c>
    </row>
    <row r="8" ht="78" customHeight="1">
      <c r="A8" s="2" t="inlineStr">
        <is>
          <t>G7</t>
        </is>
      </c>
      <c r="B8" s="2" t="inlineStr">
        <is>
          <t>Climate investors</t>
        </is>
      </c>
      <c r="C8" s="2" t="inlineStr">
        <is>
          <t>Impact evidence</t>
        </is>
      </c>
      <c r="D8" s="2" t="inlineStr">
        <is>
          <t>Quantified savings are currently a pilot objective, not established results.</t>
        </is>
      </c>
      <c r="E8" s="2" t="inlineStr">
        <is>
          <t>Surya + Kumar</t>
        </is>
      </c>
      <c r="F8" s="2" t="inlineStr">
        <is>
          <t>Document baseline, counterfactual, meter accuracy, occupancy/weather normalization, savings and verification method.</t>
        </is>
      </c>
      <c r="G8" s="2" t="inlineStr">
        <is>
          <t>Climate VC / grant routes</t>
        </is>
      </c>
    </row>
    <row r="9" ht="78" customHeight="1">
      <c r="A9" s="2" t="inlineStr">
        <is>
          <t>G8</t>
        </is>
      </c>
      <c r="B9" s="2" t="inlineStr">
        <is>
          <t>All sources</t>
        </is>
      </c>
      <c r="C9" s="2" t="inlineStr">
        <is>
          <t>Deadline freshness</t>
        </is>
      </c>
      <c r="D9" s="2" t="inlineStr">
        <is>
          <t>Published page is not proof that a call is open. Closed cohorts are watchlist rows.</t>
        </is>
      </c>
      <c r="E9" s="2" t="inlineStr">
        <is>
          <t>Corporate outreach team</t>
        </is>
      </c>
      <c r="F9" s="2" t="inlineStr">
        <is>
          <t>Reverify status before submission and log the confirmed response.</t>
        </is>
      </c>
      <c r="G9" s="2" t="inlineStr">
        <is>
          <t>All rows</t>
        </is>
      </c>
    </row>
  </sheetData>
  <autoFilter ref="A1:G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FFC857"/>
    <outlinePr summaryBelow="1" summaryRight="1"/>
    <pageSetUpPr fitToPage="1"/>
  </sheetPr>
  <dimension ref="A1:X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34" customWidth="1" min="4" max="4"/>
    <col width="26" customWidth="1" min="5" max="5"/>
    <col width="26" customWidth="1" min="6" max="6"/>
    <col width="34" customWidth="1" min="7" max="7"/>
    <col width="3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62" customWidth="1" min="16" max="16"/>
    <col width="45" customWidth="1" min="17" max="17"/>
    <col width="44" customWidth="1" min="18" max="18"/>
    <col width="48" customWidth="1" min="19" max="19"/>
    <col width="45" customWidth="1" min="20" max="20"/>
    <col width="62" customWidth="1" min="21" max="21"/>
    <col width="50" customWidth="1" min="22" max="22"/>
    <col width="48" customWidth="1" min="23" max="23"/>
    <col width="17" customWidth="1" min="24" max="24"/>
  </cols>
  <sheetData>
    <row r="1" ht="32" customHeight="1">
      <c r="A1" s="1" t="inlineStr">
        <is>
          <t>Prospect ID</t>
        </is>
      </c>
      <c r="B1" s="1" t="inlineStr">
        <is>
          <t>Country</t>
        </is>
      </c>
      <c r="C1" s="1" t="inlineStr">
        <is>
          <t>Country rank</t>
        </is>
      </c>
      <c r="D1" s="1" t="inlineStr">
        <is>
          <t>Organization / programme</t>
        </is>
      </c>
      <c r="E1" s="1" t="inlineStr">
        <is>
          <t>Category</t>
        </is>
      </c>
      <c r="F1" s="1" t="inlineStr">
        <is>
          <t>Instrument</t>
        </is>
      </c>
      <c r="G1" s="1" t="inlineStr">
        <is>
          <t>Relevant vertical / product</t>
        </is>
      </c>
      <c r="H1" s="1" t="inlineStr">
        <is>
          <t>Pre-revenue stage evidence</t>
        </is>
      </c>
      <c r="I1" s="1" t="inlineStr">
        <is>
          <t>Route</t>
        </is>
      </c>
      <c r="J1" s="1" t="inlineStr">
        <is>
          <t>Engagement outlook</t>
        </is>
      </c>
      <c r="K1" s="1" t="inlineStr">
        <is>
          <t>Direct cash outlook</t>
        </is>
      </c>
      <c r="L1" s="1" t="inlineStr">
        <is>
          <t>Relevance (1-5)</t>
        </is>
      </c>
      <c r="M1" s="1" t="inlineStr">
        <is>
          <t>Accessibility (1-5)</t>
        </is>
      </c>
      <c r="N1" s="1" t="inlineStr">
        <is>
          <t>Readiness (1-5)</t>
        </is>
      </c>
      <c r="O1" s="1" t="inlineStr">
        <is>
          <t>Priority score /100</t>
        </is>
      </c>
      <c r="P1" s="1" t="inlineStr">
        <is>
          <t>Eligibility / blockers</t>
        </is>
      </c>
      <c r="Q1" s="1" t="inlineStr">
        <is>
          <t>Current status</t>
        </is>
      </c>
      <c r="R1" s="1" t="inlineStr">
        <is>
          <t>Public contact / team</t>
        </is>
      </c>
      <c r="S1" s="1" t="inlineStr">
        <is>
          <t>Contact / apply URL</t>
        </is>
      </c>
      <c r="T1" s="1" t="inlineStr">
        <is>
          <t>Published benefit / terms</t>
        </is>
      </c>
      <c r="U1" s="1" t="inlineStr">
        <is>
          <t>Tailored first ask</t>
        </is>
      </c>
      <c r="V1" s="1" t="inlineStr">
        <is>
          <t>Evidence summary</t>
        </is>
      </c>
      <c r="W1" s="1" t="inlineStr">
        <is>
          <t>Official source URL</t>
        </is>
      </c>
      <c r="X1" s="1" t="inlineStr">
        <is>
          <t>Checked date</t>
        </is>
      </c>
    </row>
    <row r="2" ht="78" customHeight="1">
      <c r="A2" s="2" t="inlineStr">
        <is>
          <t>CC-018</t>
        </is>
      </c>
      <c r="B2" s="2" t="inlineStr">
        <is>
          <t>USA</t>
        </is>
      </c>
      <c r="C2" s="2" t="n">
        <v>18</v>
      </c>
      <c r="D2" s="2" t="inlineStr">
        <is>
          <t>Vista Equity Partners</t>
        </is>
      </c>
      <c r="E2" s="2" t="inlineStr">
        <is>
          <t>PE</t>
        </is>
      </c>
      <c r="F2" s="2" t="inlineStr">
        <is>
          <t>Growth / buyout equity; portfolio commercial route</t>
        </is>
      </c>
      <c r="G2" s="2" t="inlineStr">
        <is>
          <t>Enterprise software / AI</t>
        </is>
      </c>
      <c r="H2" s="2" t="inlineStr">
        <is>
          <t>Current direct capital fit very low (analyst view)</t>
        </is>
      </c>
      <c r="I2" s="2" t="inlineStr">
        <is>
          <t>Later / portfolio route</t>
        </is>
      </c>
      <c r="J2" s="2" t="inlineStr">
        <is>
          <t>Very low</t>
        </is>
      </c>
      <c r="K2" s="2" t="inlineStr">
        <is>
          <t>Very low / defer</t>
        </is>
      </c>
      <c r="L2" s="2" t="n">
        <v>3</v>
      </c>
      <c r="M2" s="2" t="n">
        <v>1</v>
      </c>
      <c r="N2" s="2" t="n">
        <v>1</v>
      </c>
      <c r="O2" s="2" t="n">
        <v>40</v>
      </c>
      <c r="P2" s="2" t="inlineStr">
        <is>
          <t>Mature software investment platform; no verified pre-revenue offer.</t>
        </is>
      </c>
      <c r="Q2" s="2" t="inlineStr">
        <is>
          <t>Official PE and contact pages</t>
        </is>
      </c>
      <c r="R2" s="2" t="inlineStr">
        <is>
          <t>Business inquiry via official contact page</t>
        </is>
      </c>
      <c r="S2" s="3" t="inlineStr">
        <is>
          <t>https://www.vistaequitypartners.com/contact/</t>
        </is>
      </c>
      <c r="T2" s="2" t="inlineStr">
        <is>
          <t>Not publicly confirmed; request current terms</t>
        </is>
      </c>
      <c r="U2" s="2" t="inlineStr">
        <is>
          <t>Defer direct raise; seek portfolio-company pilot or integration introduction.</t>
        </is>
      </c>
      <c r="V2" s="2" t="inlineStr">
        <is>
          <t>Authentic enterprise-software PE platform.</t>
        </is>
      </c>
      <c r="W2" s="3" t="inlineStr">
        <is>
          <t>https://www.vistaequitypartners.com/private-equity/</t>
        </is>
      </c>
      <c r="X2" s="4" t="n">
        <v>46301</v>
      </c>
    </row>
    <row r="3" ht="78" customHeight="1">
      <c r="A3" s="2" t="inlineStr">
        <is>
          <t>CC-030</t>
        </is>
      </c>
      <c r="B3" s="2" t="inlineStr">
        <is>
          <t>UAE</t>
        </is>
      </c>
      <c r="C3" s="2" t="n">
        <v>12</v>
      </c>
      <c r="D3" s="2" t="inlineStr">
        <is>
          <t>Gulf Capital</t>
        </is>
      </c>
      <c r="E3" s="2" t="inlineStr">
        <is>
          <t>PE</t>
        </is>
      </c>
      <c r="F3" s="2" t="inlineStr">
        <is>
          <t>Growth equity / portfolio partnership</t>
        </is>
      </c>
      <c r="G3" s="2" t="inlineStr">
        <is>
          <t>Technology / industrial / healthcare</t>
        </is>
      </c>
      <c r="H3" s="2" t="inlineStr">
        <is>
          <t>Current direct capital fit very low (analyst view)</t>
        </is>
      </c>
      <c r="I3" s="2" t="inlineStr">
        <is>
          <t>Later / portfolio route</t>
        </is>
      </c>
      <c r="J3" s="2" t="inlineStr">
        <is>
          <t>Very low</t>
        </is>
      </c>
      <c r="K3" s="2" t="inlineStr">
        <is>
          <t>Very low / defer</t>
        </is>
      </c>
      <c r="L3" s="2" t="n">
        <v>3</v>
      </c>
      <c r="M3" s="2" t="n">
        <v>1</v>
      </c>
      <c r="N3" s="2" t="n">
        <v>1</v>
      </c>
      <c r="O3" s="2" t="n">
        <v>40</v>
      </c>
      <c r="P3" s="2" t="inlineStr">
        <is>
          <t>Growth PE mandate; no pre-revenue financing offer verified.</t>
        </is>
      </c>
      <c r="Q3" s="2" t="inlineStr">
        <is>
          <t>Official strategy and contact pages</t>
        </is>
      </c>
      <c r="R3" s="2" t="inlineStr">
        <is>
          <t>info@gulfcapital.com</t>
        </is>
      </c>
      <c r="S3" s="3" t="inlineStr">
        <is>
          <t>https://www.gulfcapital.com/contact-us</t>
        </is>
      </c>
      <c r="T3" s="2" t="inlineStr">
        <is>
          <t>Not publicly confirmed; request current terms</t>
        </is>
      </c>
      <c r="U3" s="2" t="inlineStr">
        <is>
          <t>Seek portfolio pilot introduction after local proof; defer primary raise.</t>
        </is>
      </c>
      <c r="V3" s="2" t="inlineStr">
        <is>
          <t>Authentic growth/private equity firm.</t>
        </is>
      </c>
      <c r="W3" s="3" t="inlineStr">
        <is>
          <t>https://www.gulfcapital.com/the-firm</t>
        </is>
      </c>
      <c r="X3" s="4" t="n">
        <v>46301</v>
      </c>
    </row>
    <row r="4" ht="78" customHeight="1">
      <c r="A4" s="2" t="inlineStr">
        <is>
          <t>CC-041</t>
        </is>
      </c>
      <c r="B4" s="2" t="inlineStr">
        <is>
          <t>Singapore</t>
        </is>
      </c>
      <c r="C4" s="2" t="n">
        <v>11</v>
      </c>
      <c r="D4" s="2" t="inlineStr">
        <is>
          <t>Navis Capital Partners</t>
        </is>
      </c>
      <c r="E4" s="2" t="inlineStr">
        <is>
          <t>PE</t>
        </is>
      </c>
      <c r="F4" s="2" t="inlineStr">
        <is>
          <t>Control equity / portfolio partnership</t>
        </is>
      </c>
      <c r="G4" s="2" t="inlineStr">
        <is>
          <t>Industrial / services / technology</t>
        </is>
      </c>
      <c r="H4" s="2" t="inlineStr">
        <is>
          <t>Current direct capital fit very low (analyst view)</t>
        </is>
      </c>
      <c r="I4" s="2" t="inlineStr">
        <is>
          <t>Later / portfolio route</t>
        </is>
      </c>
      <c r="J4" s="2" t="inlineStr">
        <is>
          <t>Very low</t>
        </is>
      </c>
      <c r="K4" s="2" t="inlineStr">
        <is>
          <t>Very low / defer</t>
        </is>
      </c>
      <c r="L4" s="2" t="n">
        <v>3</v>
      </c>
      <c r="M4" s="2" t="n">
        <v>1</v>
      </c>
      <c r="N4" s="2" t="n">
        <v>1</v>
      </c>
      <c r="O4" s="2" t="n">
        <v>40</v>
      </c>
      <c r="P4" s="2" t="inlineStr">
        <is>
          <t>Control PE strategy; startup seed offer not verified.</t>
        </is>
      </c>
      <c r="Q4" s="2" t="inlineStr">
        <is>
          <t>Official PE strategy and contact page</t>
        </is>
      </c>
      <c r="R4" s="2" t="inlineStr">
        <is>
          <t>Singapore office through official contact page</t>
        </is>
      </c>
      <c r="S4" s="3" t="inlineStr">
        <is>
          <t>https://www.naviscapital.com/contact-us/</t>
        </is>
      </c>
      <c r="T4" s="2" t="inlineStr">
        <is>
          <t>Not publicly confirmed; request current terms</t>
        </is>
      </c>
      <c r="U4" s="2" t="inlineStr">
        <is>
          <t>Request industrial portfolio technology-pilot introduction after case-study proof.</t>
        </is>
      </c>
      <c r="V4" s="2" t="inlineStr">
        <is>
          <t>Official strategy describes controlling PE investments.</t>
        </is>
      </c>
      <c r="W4" s="3" t="inlineStr">
        <is>
          <t>https://www.naviscapital.com/private-equity/the-navis-approach/</t>
        </is>
      </c>
      <c r="X4" s="4" t="n">
        <v>46301</v>
      </c>
    </row>
    <row r="5" ht="78" customHeight="1">
      <c r="A5" s="2" t="inlineStr">
        <is>
          <t>CC-052</t>
        </is>
      </c>
      <c r="B5" s="2" t="inlineStr">
        <is>
          <t>India</t>
        </is>
      </c>
      <c r="C5" s="2" t="n">
        <v>11</v>
      </c>
      <c r="D5" s="2" t="inlineStr">
        <is>
          <t>Everstone Capital</t>
        </is>
      </c>
      <c r="E5" s="2" t="inlineStr">
        <is>
          <t>PE</t>
        </is>
      </c>
      <c r="F5" s="2" t="inlineStr">
        <is>
          <t>Growth/control investment / portfolio route</t>
        </is>
      </c>
      <c r="G5" s="2" t="inlineStr">
        <is>
          <t>Industrial / healthcare / digital / logistics</t>
        </is>
      </c>
      <c r="H5" s="2" t="inlineStr">
        <is>
          <t>Current direct capital fit very low (analyst view)</t>
        </is>
      </c>
      <c r="I5" s="2" t="inlineStr">
        <is>
          <t>Later / portfolio route</t>
        </is>
      </c>
      <c r="J5" s="2" t="inlineStr">
        <is>
          <t>Very low</t>
        </is>
      </c>
      <c r="K5" s="2" t="inlineStr">
        <is>
          <t>Very low / defer</t>
        </is>
      </c>
      <c r="L5" s="2" t="n">
        <v>3</v>
      </c>
      <c r="M5" s="2" t="n">
        <v>1</v>
      </c>
      <c r="N5" s="2" t="n">
        <v>1</v>
      </c>
      <c r="O5" s="2" t="n">
        <v>40</v>
      </c>
      <c r="P5" s="2" t="inlineStr">
        <is>
          <t>Established PE businesses; no verified pre-revenue seed offer.</t>
        </is>
      </c>
      <c r="Q5" s="2" t="inlineStr">
        <is>
          <t>Official PE and India contact pages</t>
        </is>
      </c>
      <c r="R5" s="2" t="inlineStr">
        <is>
          <t>Mumbai office +91 22 4043 6000</t>
        </is>
      </c>
      <c r="S5" s="3" t="inlineStr">
        <is>
          <t>https://everstonecapital.com/contact/</t>
        </is>
      </c>
      <c r="T5" s="2" t="inlineStr">
        <is>
          <t>Not publicly confirmed; request current terms</t>
        </is>
      </c>
      <c r="U5" s="2" t="inlineStr">
        <is>
          <t>Seek relevant portfolio buyer/technology-pilot introduction after demonstrated outcome.</t>
        </is>
      </c>
      <c r="V5" s="2" t="inlineStr">
        <is>
          <t>Official India/SEA PE platform; contact includes fund registrations.</t>
        </is>
      </c>
      <c r="W5" s="3" t="inlineStr">
        <is>
          <t>https://everstonecapital.com/</t>
        </is>
      </c>
      <c r="X5" s="4" t="n">
        <v>46301</v>
      </c>
    </row>
  </sheetData>
  <autoFilter ref="A1:X5"/>
  <hyperlinks>
    <hyperlink xmlns:r="http://schemas.openxmlformats.org/officeDocument/2006/relationships" ref="S2" r:id="rId1"/>
    <hyperlink xmlns:r="http://schemas.openxmlformats.org/officeDocument/2006/relationships" ref="W2" r:id="rId2"/>
    <hyperlink xmlns:r="http://schemas.openxmlformats.org/officeDocument/2006/relationships" ref="S3" r:id="rId3"/>
    <hyperlink xmlns:r="http://schemas.openxmlformats.org/officeDocument/2006/relationships" ref="W3" r:id="rId4"/>
    <hyperlink xmlns:r="http://schemas.openxmlformats.org/officeDocument/2006/relationships" ref="S4" r:id="rId5"/>
    <hyperlink xmlns:r="http://schemas.openxmlformats.org/officeDocument/2006/relationships" ref="W4" r:id="rId6"/>
    <hyperlink xmlns:r="http://schemas.openxmlformats.org/officeDocument/2006/relationships" ref="S5" r:id="rId7"/>
    <hyperlink xmlns:r="http://schemas.openxmlformats.org/officeDocument/2006/relationships" ref="W5" r:id="rId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9"/>
  </tableParts>
</worksheet>
</file>

<file path=xl/worksheets/sheet10.xml><?xml version="1.0" encoding="utf-8"?>
<worksheet xmlns="http://schemas.openxmlformats.org/spreadsheetml/2006/main">
  <sheetPr>
    <tabColor rgb="00007F86"/>
    <outlinePr summaryBelow="1" summaryRight="1"/>
    <pageSetUpPr fitToPage="1"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65" customWidth="1" min="3" max="3"/>
    <col width="65" customWidth="1" min="4" max="4"/>
    <col width="65" customWidth="1" min="5" max="5"/>
    <col width="48" customWidth="1" min="6" max="6"/>
    <col width="62" customWidth="1" min="7" max="7"/>
    <col width="26" customWidth="1" min="8" max="8"/>
  </cols>
  <sheetData>
    <row r="1" ht="32" customHeight="1">
      <c r="A1" s="1" t="inlineStr">
        <is>
          <t>Prospect ID</t>
        </is>
      </c>
      <c r="B1" s="1" t="inlineStr">
        <is>
          <t>Organization</t>
        </is>
      </c>
      <c r="C1" s="1" t="inlineStr">
        <is>
          <t>Programme / thesis source</t>
        </is>
      </c>
      <c r="D1" s="1" t="inlineStr">
        <is>
          <t>Contact source</t>
        </is>
      </c>
      <c r="E1" s="1" t="inlineStr">
        <is>
          <t>Evidence summary</t>
        </is>
      </c>
      <c r="F1" s="1" t="inlineStr">
        <is>
          <t>Evidence level</t>
        </is>
      </c>
      <c r="G1" s="1" t="inlineStr">
        <is>
          <t>Status precision</t>
        </is>
      </c>
      <c r="H1" s="1" t="inlineStr">
        <is>
          <t>Research date</t>
        </is>
      </c>
    </row>
    <row r="2" ht="78" customHeight="1">
      <c r="A2" s="2" t="inlineStr">
        <is>
          <t>CC-001</t>
        </is>
      </c>
      <c r="B2" s="2" t="inlineStr">
        <is>
          <t>AWS Activate</t>
        </is>
      </c>
      <c r="C2" s="3" t="inlineStr">
        <is>
          <t>https://aws.amazon.com/startups/credits/</t>
        </is>
      </c>
      <c r="D2" s="3" t="inlineStr">
        <is>
          <t>https://aws.amazon.com/startups/credits/</t>
        </is>
      </c>
      <c r="E2" s="2" t="inlineStr">
        <is>
          <t>Published startup age and tier requirements; application portal available.</t>
        </is>
      </c>
      <c r="F2" s="2" t="inlineStr">
        <is>
          <t>Official organization or government page; public contact route</t>
        </is>
      </c>
      <c r="G2" s="2" t="inlineStr">
        <is>
          <t>Intake only confirmed when expressly stated; no email deliverability test</t>
        </is>
      </c>
      <c r="H2" s="4" t="n">
        <v>46301</v>
      </c>
    </row>
    <row r="3" ht="78" customHeight="1">
      <c r="A3" s="2" t="inlineStr">
        <is>
          <t>CC-002</t>
        </is>
      </c>
      <c r="B3" s="2" t="inlineStr">
        <is>
          <t>CO.LAB / The Company Lab</t>
        </is>
      </c>
      <c r="C3" s="3" t="inlineStr">
        <is>
          <t>https://thecompanylab.org/accelerator/energy-innovation/</t>
        </is>
      </c>
      <c r="D3" s="3" t="inlineStr">
        <is>
          <t>https://thecompanylab.org/accelerator/energy-innovation/</t>
        </is>
      </c>
      <c r="E3" s="2" t="inlineStr">
        <is>
          <t>Official energy programme and public email listed.</t>
        </is>
      </c>
      <c r="F3" s="2" t="inlineStr">
        <is>
          <t>Official organization or government page; public contact route</t>
        </is>
      </c>
      <c r="G3" s="2" t="inlineStr">
        <is>
          <t>Intake only confirmed when expressly stated; no email deliverability test</t>
        </is>
      </c>
      <c r="H3" s="4" t="n">
        <v>46301</v>
      </c>
    </row>
    <row r="4" ht="78" customHeight="1">
      <c r="A4" s="2" t="inlineStr">
        <is>
          <t>CC-003</t>
        </is>
      </c>
      <c r="B4" s="2" t="inlineStr">
        <is>
          <t>Rutgers EcoComplex</t>
        </is>
      </c>
      <c r="C4" s="3" t="inlineStr">
        <is>
          <t>https://ecocomplex.rutgers.edu/incubator-businesses.html</t>
        </is>
      </c>
      <c r="D4" s="3" t="inlineStr">
        <is>
          <t>https://ecocomplex.rutgers.edu/contact.html</t>
        </is>
      </c>
      <c r="E4" s="2" t="inlineStr">
        <is>
          <t>Incubator covers clean energy, environmental and controlled-environment agriculture.</t>
        </is>
      </c>
      <c r="F4" s="2" t="inlineStr">
        <is>
          <t>Official organization or government page; public contact route</t>
        </is>
      </c>
      <c r="G4" s="2" t="inlineStr">
        <is>
          <t>Intake only confirmed when expressly stated; no email deliverability test</t>
        </is>
      </c>
      <c r="H4" s="4" t="n">
        <v>46301</v>
      </c>
    </row>
    <row r="5" ht="78" customHeight="1">
      <c r="A5" s="2" t="inlineStr">
        <is>
          <t>CC-004</t>
        </is>
      </c>
      <c r="B5" s="2" t="inlineStr">
        <is>
          <t>AHLA / HTNG AI Community</t>
        </is>
      </c>
      <c r="C5" s="3" t="inlineStr">
        <is>
          <t>https://www.ahla.com/htng/communities-of-interest-artificial-intelligence</t>
        </is>
      </c>
      <c r="D5" s="3" t="inlineStr">
        <is>
          <t>https://www.ahla.com/htng/communities-of-interest-artificial-intelligence</t>
        </is>
      </c>
      <c r="E5" s="2" t="inlineStr">
        <is>
          <t>AI community has a named AHLA contact.</t>
        </is>
      </c>
      <c r="F5" s="2" t="inlineStr">
        <is>
          <t>Official organization or government page; public contact route</t>
        </is>
      </c>
      <c r="G5" s="2" t="inlineStr">
        <is>
          <t>Intake only confirmed when expressly stated; no email deliverability test</t>
        </is>
      </c>
      <c r="H5" s="4" t="n">
        <v>46301</v>
      </c>
    </row>
    <row r="6" ht="78" customHeight="1">
      <c r="A6" s="2" t="inlineStr">
        <is>
          <t>CC-005</t>
        </is>
      </c>
      <c r="B6" s="2" t="inlineStr">
        <is>
          <t>PSE&amp;G Energy Management / Trade Ally</t>
        </is>
      </c>
      <c r="C6" s="3" t="inlineStr">
        <is>
          <t>https://bizsaveportal.pseg.com/TradeAlly/TradeAllyApplication/Begin</t>
        </is>
      </c>
      <c r="D6" s="3" t="inlineStr">
        <is>
          <t>https://mybizenergy.pseg.com/energy-management-program</t>
        </is>
      </c>
      <c r="E6" s="2" t="inlineStr">
        <is>
          <t>Monitoring-based commissioning and partner participation are published.</t>
        </is>
      </c>
      <c r="F6" s="2" t="inlineStr">
        <is>
          <t>Official organization or government page; public contact route</t>
        </is>
      </c>
      <c r="G6" s="2" t="inlineStr">
        <is>
          <t>Intake only confirmed when expressly stated; no email deliverability test</t>
        </is>
      </c>
      <c r="H6" s="4" t="n">
        <v>46301</v>
      </c>
    </row>
    <row r="7" ht="78" customHeight="1">
      <c r="A7" s="2" t="inlineStr">
        <is>
          <t>CC-006</t>
        </is>
      </c>
      <c r="B7" s="2" t="inlineStr">
        <is>
          <t>Third Derivative (RMI)</t>
        </is>
      </c>
      <c r="C7" s="3" t="inlineStr">
        <is>
          <t>https://www.third-derivative.org/startups</t>
        </is>
      </c>
      <c r="D7" s="3" t="inlineStr">
        <is>
          <t>https://www.third-derivative.org/startups</t>
        </is>
      </c>
      <c r="E7" s="2" t="inlineStr">
        <is>
          <t>Global climate accelerator invites relevant startups.</t>
        </is>
      </c>
      <c r="F7" s="2" t="inlineStr">
        <is>
          <t>Official organization or government page; public contact route</t>
        </is>
      </c>
      <c r="G7" s="2" t="inlineStr">
        <is>
          <t>Intake only confirmed when expressly stated; no email deliverability test</t>
        </is>
      </c>
      <c r="H7" s="4" t="n">
        <v>46301</v>
      </c>
    </row>
    <row r="8" ht="78" customHeight="1">
      <c r="A8" s="2" t="inlineStr">
        <is>
          <t>CC-007</t>
        </is>
      </c>
      <c r="B8" s="2" t="inlineStr">
        <is>
          <t>Clean Energy Venture Group</t>
        </is>
      </c>
      <c r="C8" s="3" t="inlineStr">
        <is>
          <t>https://cleanenergyventures.com/working-with-us</t>
        </is>
      </c>
      <c r="D8" s="3" t="inlineStr">
        <is>
          <t>https://cevg.com/apply/</t>
        </is>
      </c>
      <c r="E8" s="2" t="inlineStr">
        <is>
          <t>CEVG sister angel group explicitly backs pre-seed and seed.</t>
        </is>
      </c>
      <c r="F8" s="2" t="inlineStr">
        <is>
          <t>Official organization or government page; public contact route</t>
        </is>
      </c>
      <c r="G8" s="2" t="inlineStr">
        <is>
          <t>Intake only confirmed when expressly stated; no email deliverability test</t>
        </is>
      </c>
      <c r="H8" s="4" t="n">
        <v>46301</v>
      </c>
    </row>
    <row r="9" ht="78" customHeight="1">
      <c r="A9" s="2" t="inlineStr">
        <is>
          <t>CC-008</t>
        </is>
      </c>
      <c r="B9" s="2" t="inlineStr">
        <is>
          <t>Congruent Ventures</t>
        </is>
      </c>
      <c r="C9" s="3" t="inlineStr">
        <is>
          <t>https://www.congruentvc.com/</t>
        </is>
      </c>
      <c r="D9" s="3" t="inlineStr">
        <is>
          <t>https://www.congruentvc.com/thinking</t>
        </is>
      </c>
      <c r="E9" s="2" t="inlineStr">
        <is>
          <t>Official early-stage climate mandate; investor mailbox on Thinking page.</t>
        </is>
      </c>
      <c r="F9" s="2" t="inlineStr">
        <is>
          <t>Official organization or government page; public contact route</t>
        </is>
      </c>
      <c r="G9" s="2" t="inlineStr">
        <is>
          <t>Intake only confirmed when expressly stated; no email deliverability test</t>
        </is>
      </c>
      <c r="H9" s="4" t="n">
        <v>46301</v>
      </c>
    </row>
    <row r="10" ht="78" customHeight="1">
      <c r="A10" s="2" t="inlineStr">
        <is>
          <t>CC-009</t>
        </is>
      </c>
      <c r="B10" s="2" t="inlineStr">
        <is>
          <t>Elemental Impact</t>
        </is>
      </c>
      <c r="C10" s="3" t="inlineStr">
        <is>
          <t>https://elementalimpact.com/funding-opportunities/apply/</t>
        </is>
      </c>
      <c r="D10" s="3" t="inlineStr">
        <is>
          <t>https://elementalimpact.com/funding-opportunities/apply/</t>
        </is>
      </c>
      <c r="E10" s="2" t="inlineStr">
        <is>
          <t>Open application covers pre-seed to Series C and target sectors.</t>
        </is>
      </c>
      <c r="F10" s="2" t="inlineStr">
        <is>
          <t>Official organization or government page; public contact route</t>
        </is>
      </c>
      <c r="G10" s="2" t="inlineStr">
        <is>
          <t>Intake only confirmed when expressly stated; no email deliverability test</t>
        </is>
      </c>
      <c r="H10" s="4" t="n">
        <v>46301</v>
      </c>
    </row>
    <row r="11" ht="78" customHeight="1">
      <c r="A11" s="2" t="inlineStr">
        <is>
          <t>CC-010</t>
        </is>
      </c>
      <c r="B11" s="2" t="inlineStr">
        <is>
          <t>Cleantech Open</t>
        </is>
      </c>
      <c r="C11" s="3" t="inlineStr">
        <is>
          <t>https://www.cleantechopen.org/en/page/2026-cto-accelerator-en</t>
        </is>
      </c>
      <c r="D11" s="3" t="inlineStr">
        <is>
          <t>https://www.cleantechopen.org/en/page/2026-cto-accelerator-en</t>
        </is>
      </c>
      <c r="E11" s="2" t="inlineStr">
        <is>
          <t>Official cohort page gives fit-enquiry email.</t>
        </is>
      </c>
      <c r="F11" s="2" t="inlineStr">
        <is>
          <t>Official organization or government page; public contact route</t>
        </is>
      </c>
      <c r="G11" s="2" t="inlineStr">
        <is>
          <t>Intake only confirmed when expressly stated; no email deliverability test</t>
        </is>
      </c>
      <c r="H11" s="4" t="n">
        <v>46301</v>
      </c>
    </row>
    <row r="12" ht="78" customHeight="1">
      <c r="A12" s="2" t="inlineStr">
        <is>
          <t>CC-011</t>
        </is>
      </c>
      <c r="B12" s="2" t="inlineStr">
        <is>
          <t>NJIT industry research</t>
        </is>
      </c>
      <c r="C12" s="3" t="inlineStr">
        <is>
          <t>https://research.njit.edu/forindustry</t>
        </is>
      </c>
      <c r="D12" s="3" t="inlineStr">
        <is>
          <t>https://research.njit.edu/industry</t>
        </is>
      </c>
      <c r="E12" s="2" t="inlineStr">
        <is>
          <t>Industry partnerships and campus incubation resources described.</t>
        </is>
      </c>
      <c r="F12" s="2" t="inlineStr">
        <is>
          <t>Official organization or government page; public contact route</t>
        </is>
      </c>
      <c r="G12" s="2" t="inlineStr">
        <is>
          <t>Intake only confirmed when expressly stated; no email deliverability test</t>
        </is>
      </c>
      <c r="H12" s="4" t="n">
        <v>46301</v>
      </c>
    </row>
    <row r="13" ht="78" customHeight="1">
      <c r="A13" s="2" t="inlineStr">
        <is>
          <t>CC-012</t>
        </is>
      </c>
      <c r="B13" s="2" t="inlineStr">
        <is>
          <t>Digital Twin Consortium</t>
        </is>
      </c>
      <c r="C13" s="3" t="inlineStr">
        <is>
          <t>https://www.digitaltwinconsortium.org/dtcmembersearch/</t>
        </is>
      </c>
      <c r="D13" s="3" t="inlineStr">
        <is>
          <t>https://www.digitaltwinconsortium.org/contact-us/</t>
        </is>
      </c>
      <c r="E13" s="2" t="inlineStr">
        <is>
          <t>Open membership with revenue-based pricing; current DTC route replaces IIC.</t>
        </is>
      </c>
      <c r="F13" s="2" t="inlineStr">
        <is>
          <t>Official organization or government page; public contact route</t>
        </is>
      </c>
      <c r="G13" s="2" t="inlineStr">
        <is>
          <t>Intake only confirmed when expressly stated; no email deliverability test</t>
        </is>
      </c>
      <c r="H13" s="4" t="n">
        <v>46301</v>
      </c>
    </row>
    <row r="14" ht="78" customHeight="1">
      <c r="A14" s="2" t="inlineStr">
        <is>
          <t>CC-013</t>
        </is>
      </c>
      <c r="B14" s="2" t="inlineStr">
        <is>
          <t>NJ CSIT Clean Tech R&amp;D Voucher</t>
        </is>
      </c>
      <c r="C14" s="3" t="inlineStr">
        <is>
          <t>https://www.njcsit.gov/clean-tech-research-and-development-rd-voucher-program-round-3/</t>
        </is>
      </c>
      <c r="D14" s="3" t="inlineStr">
        <is>
          <t>https://www.njcsit.gov/clean-tech-research-and-development-rd-voucher-program-round-3/</t>
        </is>
      </c>
      <c r="E14" s="2" t="inlineStr">
        <is>
          <t>NJ work-hour requirement includes founders and contractors.</t>
        </is>
      </c>
      <c r="F14" s="2" t="inlineStr">
        <is>
          <t>Official organization or government page; public contact route</t>
        </is>
      </c>
      <c r="G14" s="2" t="inlineStr">
        <is>
          <t>Intake only confirmed when expressly stated; no email deliverability test</t>
        </is>
      </c>
      <c r="H14" s="4" t="n">
        <v>46301</v>
      </c>
    </row>
    <row r="15" ht="78" customHeight="1">
      <c r="A15" s="2" t="inlineStr">
        <is>
          <t>CC-014</t>
        </is>
      </c>
      <c r="B15" s="2" t="inlineStr">
        <is>
          <t>NJ CSIT Clean Tech Seed Grant</t>
        </is>
      </c>
      <c r="C15" s="3" t="inlineStr">
        <is>
          <t>https://www.njeda.gov/wp-content/uploads/2025/06/NJEDA-Clean-Energy-Newsletter-Q2-2025.pdf</t>
        </is>
      </c>
      <c r="D15" s="3" t="inlineStr">
        <is>
          <t>https://www.njcsit.gov/</t>
        </is>
      </c>
      <c r="E15" s="2" t="inlineStr">
        <is>
          <t>Official newsletter records Round 4 amount and closed deadline.</t>
        </is>
      </c>
      <c r="F15" s="2" t="inlineStr">
        <is>
          <t>Official organization or government page; public contact route</t>
        </is>
      </c>
      <c r="G15" s="2" t="inlineStr">
        <is>
          <t>Intake only confirmed when expressly stated; no email deliverability test</t>
        </is>
      </c>
      <c r="H15" s="4" t="n">
        <v>46301</v>
      </c>
    </row>
    <row r="16" ht="78" customHeight="1">
      <c r="A16" s="2" t="inlineStr">
        <is>
          <t>CC-015</t>
        </is>
      </c>
      <c r="B16" s="2" t="inlineStr">
        <is>
          <t>NSF America's Seed Fund</t>
        </is>
      </c>
      <c r="C16" s="3" t="inlineStr">
        <is>
          <t>https://seedfund.nsf.gov/solicitation-eligibility/</t>
        </is>
      </c>
      <c r="D16" s="3" t="inlineStr">
        <is>
          <t>https://seedfund.nsf.gov/apply/</t>
        </is>
      </c>
      <c r="E16" s="2" t="inlineStr">
        <is>
          <t>Official eligibility and application requirements available.</t>
        </is>
      </c>
      <c r="F16" s="2" t="inlineStr">
        <is>
          <t>Official organization or government page; public contact route</t>
        </is>
      </c>
      <c r="G16" s="2" t="inlineStr">
        <is>
          <t>Intake only confirmed when expressly stated; no email deliverability test</t>
        </is>
      </c>
      <c r="H16" s="4" t="n">
        <v>46301</v>
      </c>
    </row>
    <row r="17" ht="78" customHeight="1">
      <c r="A17" s="2" t="inlineStr">
        <is>
          <t>CC-016</t>
        </is>
      </c>
      <c r="B17" s="2" t="inlineStr">
        <is>
          <t>DOE SBIR / STTR</t>
        </is>
      </c>
      <c r="C17" s="3" t="inlineStr">
        <is>
          <t>https://www.energy.gov/technologycommercialization/doe-small-business-innovation-research-sbir-and-small-business</t>
        </is>
      </c>
      <c r="D17" s="3" t="inlineStr">
        <is>
          <t>https://www.energy.gov/technologycommercialization/doe-small-business-innovation-research-sbir-and-small-business</t>
        </is>
      </c>
      <c r="E17" s="2" t="inlineStr">
        <is>
          <t>DOE publishes current programme and funding updates.</t>
        </is>
      </c>
      <c r="F17" s="2" t="inlineStr">
        <is>
          <t>Official organization or government page; public contact route</t>
        </is>
      </c>
      <c r="G17" s="2" t="inlineStr">
        <is>
          <t>Intake only confirmed when expressly stated; no email deliverability test</t>
        </is>
      </c>
      <c r="H17" s="4" t="n">
        <v>46301</v>
      </c>
    </row>
    <row r="18" ht="78" customHeight="1">
      <c r="A18" s="2" t="inlineStr">
        <is>
          <t>CC-017</t>
        </is>
      </c>
      <c r="B18" s="2" t="inlineStr">
        <is>
          <t>Amazon Sustainability Accelerator Climate Tech</t>
        </is>
      </c>
      <c r="C18" s="3" t="inlineStr">
        <is>
          <t>https://www.aboutamazon.eu/news/sustainability/sustainability-accelerator-climate-tech-programme-2026</t>
        </is>
      </c>
      <c r="D18" s="3" t="inlineStr">
        <is>
          <t>https://sustainability.aboutamazon.com/sustainability-accelerator-climate-tech</t>
        </is>
      </c>
      <c r="E18" s="2" t="inlineStr">
        <is>
          <t>Official cohort announcement confirms selection after applications closed.</t>
        </is>
      </c>
      <c r="F18" s="2" t="inlineStr">
        <is>
          <t>Official organization or government page; public contact route</t>
        </is>
      </c>
      <c r="G18" s="2" t="inlineStr">
        <is>
          <t>Intake only confirmed when expressly stated; no email deliverability test</t>
        </is>
      </c>
      <c r="H18" s="4" t="n">
        <v>46301</v>
      </c>
    </row>
    <row r="19" ht="78" customHeight="1">
      <c r="A19" s="2" t="inlineStr">
        <is>
          <t>CC-018</t>
        </is>
      </c>
      <c r="B19" s="2" t="inlineStr">
        <is>
          <t>Vista Equity Partners</t>
        </is>
      </c>
      <c r="C19" s="3" t="inlineStr">
        <is>
          <t>https://www.vistaequitypartners.com/private-equity/</t>
        </is>
      </c>
      <c r="D19" s="3" t="inlineStr">
        <is>
          <t>https://www.vistaequitypartners.com/contact/</t>
        </is>
      </c>
      <c r="E19" s="2" t="inlineStr">
        <is>
          <t>Authentic enterprise-software PE platform.</t>
        </is>
      </c>
      <c r="F19" s="2" t="inlineStr">
        <is>
          <t>Official organization or government page; public contact route</t>
        </is>
      </c>
      <c r="G19" s="2" t="inlineStr">
        <is>
          <t>Intake only confirmed when expressly stated; no email deliverability test</t>
        </is>
      </c>
      <c r="H19" s="4" t="n">
        <v>46301</v>
      </c>
    </row>
    <row r="20" ht="78" customHeight="1">
      <c r="A20" s="2" t="inlineStr">
        <is>
          <t>CC-019</t>
        </is>
      </c>
      <c r="B20" s="2" t="inlineStr">
        <is>
          <t>MBRIF Innovation Accelerator</t>
        </is>
      </c>
      <c r="C20" s="3" t="inlineStr">
        <is>
          <t>https://mbrif.ae/faq-2/</t>
        </is>
      </c>
      <c r="D20" s="3" t="inlineStr">
        <is>
          <t>https://mbrif.ae/faq-2/</t>
        </is>
      </c>
      <c r="E20" s="2" t="inlineStr">
        <is>
          <t>Global innovators accepted; no equity or membership fees; accelerator separate from loan guarantee.</t>
        </is>
      </c>
      <c r="F20" s="2" t="inlineStr">
        <is>
          <t>Official organization or government page; public contact route</t>
        </is>
      </c>
      <c r="G20" s="2" t="inlineStr">
        <is>
          <t>Intake only confirmed when expressly stated; no email deliverability test</t>
        </is>
      </c>
      <c r="H20" s="4" t="n">
        <v>46301</v>
      </c>
    </row>
    <row r="21" ht="78" customHeight="1">
      <c r="A21" s="2" t="inlineStr">
        <is>
          <t>CC-020</t>
        </is>
      </c>
      <c r="B21" s="2" t="inlineStr">
        <is>
          <t>Emirates Green Building Council</t>
        </is>
      </c>
      <c r="C21" s="3" t="inlineStr">
        <is>
          <t>https://emiratesgbc.org/energy-efficiency-program/</t>
        </is>
      </c>
      <c r="D21" s="3" t="inlineStr">
        <is>
          <t>https://emiratesgbc.org/contact-us/</t>
        </is>
      </c>
      <c r="E21" s="2" t="inlineStr">
        <is>
          <t>Energy Efficiency Program promotes retrofits; hospitality programmes also described.</t>
        </is>
      </c>
      <c r="F21" s="2" t="inlineStr">
        <is>
          <t>Official organization or government page; public contact route</t>
        </is>
      </c>
      <c r="G21" s="2" t="inlineStr">
        <is>
          <t>Intake only confirmed when expressly stated; no email deliverability test</t>
        </is>
      </c>
      <c r="H21" s="4" t="n">
        <v>46301</v>
      </c>
    </row>
    <row r="22" ht="78" customHeight="1">
      <c r="A22" s="2" t="inlineStr">
        <is>
          <t>CC-021</t>
        </is>
      </c>
      <c r="B22" s="2" t="inlineStr">
        <is>
          <t>NYU Abu Dhabi / startAD</t>
        </is>
      </c>
      <c r="C22" s="3" t="inlineStr">
        <is>
          <t>https://startad.ae/programs/</t>
        </is>
      </c>
      <c r="D22" s="3" t="inlineStr">
        <is>
          <t>https://startad.ae/contact/</t>
        </is>
      </c>
      <c r="E22" s="2" t="inlineStr">
        <is>
          <t>NYUAD-anchored ecosystem lists corporate sprint and AI programmes.</t>
        </is>
      </c>
      <c r="F22" s="2" t="inlineStr">
        <is>
          <t>Official organization or government page; public contact route</t>
        </is>
      </c>
      <c r="G22" s="2" t="inlineStr">
        <is>
          <t>Intake only confirmed when expressly stated; no email deliverability test</t>
        </is>
      </c>
      <c r="H22" s="4" t="n">
        <v>46301</v>
      </c>
    </row>
    <row r="23" ht="78" customHeight="1">
      <c r="A23" s="2" t="inlineStr">
        <is>
          <t>CC-022</t>
        </is>
      </c>
      <c r="B23" s="2" t="inlineStr">
        <is>
          <t>Hub71 Access</t>
        </is>
      </c>
      <c r="C23" s="3" t="inlineStr">
        <is>
          <t>https://www.hub71.com/program/access-programme/apply</t>
        </is>
      </c>
      <c r="D23" s="3" t="inlineStr">
        <is>
          <t>https://www.hub71.com/program/access-programme/apply</t>
        </is>
      </c>
      <c r="E23" s="2" t="inlineStr">
        <is>
          <t>Official application offers pre-revenue option and asks relocation plans.</t>
        </is>
      </c>
      <c r="F23" s="2" t="inlineStr">
        <is>
          <t>Official organization or government page; public contact route</t>
        </is>
      </c>
      <c r="G23" s="2" t="inlineStr">
        <is>
          <t>Intake only confirmed when expressly stated; no email deliverability test</t>
        </is>
      </c>
      <c r="H23" s="4" t="n">
        <v>46301</v>
      </c>
    </row>
    <row r="24" ht="78" customHeight="1">
      <c r="A24" s="2" t="inlineStr">
        <is>
          <t>CC-023</t>
        </is>
      </c>
      <c r="B24" s="2" t="inlineStr">
        <is>
          <t>Shorooq venture capital</t>
        </is>
      </c>
      <c r="C24" s="3" t="inlineStr">
        <is>
          <t>https://www.shorooq.com/what-we-do/equity-venture-capital</t>
        </is>
      </c>
      <c r="D24" s="3" t="inlineStr">
        <is>
          <t>https://www.shorooq.com/locations</t>
        </is>
      </c>
      <c r="E24" s="2" t="inlineStr">
        <is>
          <t>Official VC mandate starts at pre-seed.</t>
        </is>
      </c>
      <c r="F24" s="2" t="inlineStr">
        <is>
          <t>Official organization or government page; public contact route</t>
        </is>
      </c>
      <c r="G24" s="2" t="inlineStr">
        <is>
          <t>Intake only confirmed when expressly stated; no email deliverability test</t>
        </is>
      </c>
      <c r="H24" s="4" t="n">
        <v>46301</v>
      </c>
    </row>
    <row r="25" ht="78" customHeight="1">
      <c r="A25" s="2" t="inlineStr">
        <is>
          <t>CC-024</t>
        </is>
      </c>
      <c r="B25" s="2" t="inlineStr">
        <is>
          <t>Dubai Future Accelerators</t>
        </is>
      </c>
      <c r="C25" s="3" t="inlineStr">
        <is>
          <t>https://www.dubaifuture.ae/initiatives/future-design-and-acceleration/dubai-future-accelerators/</t>
        </is>
      </c>
      <c r="D25" s="3" t="inlineStr">
        <is>
          <t>https://www.dubaifuture.ae/initiatives/future-design-and-acceleration/dubai-future-accelerators/</t>
        </is>
      </c>
      <c r="E25" s="2" t="inlineStr">
        <is>
          <t>Startups collaborate with government/private entities on specified challenges.</t>
        </is>
      </c>
      <c r="F25" s="2" t="inlineStr">
        <is>
          <t>Official organization or government page; public contact route</t>
        </is>
      </c>
      <c r="G25" s="2" t="inlineStr">
        <is>
          <t>Intake only confirmed when expressly stated; no email deliverability test</t>
        </is>
      </c>
      <c r="H25" s="4" t="n">
        <v>46301</v>
      </c>
    </row>
    <row r="26" ht="78" customHeight="1">
      <c r="A26" s="2" t="inlineStr">
        <is>
          <t>CC-025</t>
        </is>
      </c>
      <c r="B26" s="2" t="inlineStr">
        <is>
          <t>Etihad ESCO</t>
        </is>
      </c>
      <c r="C26" s="3" t="inlineStr">
        <is>
          <t>https://etihadesco.ae/</t>
        </is>
      </c>
      <c r="D26" s="3" t="inlineStr">
        <is>
          <t>https://etihadesco.ae/contacts/</t>
        </is>
      </c>
      <c r="E26" s="2" t="inlineStr">
        <is>
          <t>Official energy-services company and contact route.</t>
        </is>
      </c>
      <c r="F26" s="2" t="inlineStr">
        <is>
          <t>Official organization or government page; public contact route</t>
        </is>
      </c>
      <c r="G26" s="2" t="inlineStr">
        <is>
          <t>Intake only confirmed when expressly stated; no email deliverability test</t>
        </is>
      </c>
      <c r="H26" s="4" t="n">
        <v>46301</v>
      </c>
    </row>
    <row r="27" ht="78" customHeight="1">
      <c r="A27" s="2" t="inlineStr">
        <is>
          <t>CC-026</t>
        </is>
      </c>
      <c r="B27" s="2" t="inlineStr">
        <is>
          <t>Khalifa University</t>
        </is>
      </c>
      <c r="C27" s="3" t="inlineStr">
        <is>
          <t>https://www.ku.ac.ae/research/research-administration/</t>
        </is>
      </c>
      <c r="D27" s="3" t="inlineStr">
        <is>
          <t>https://www.ku.ac.ae/research-offices/technology-management-innovation/commercial-agreements</t>
        </is>
      </c>
      <c r="E27" s="2" t="inlineStr">
        <is>
          <t>Industry partnership department and research-services route documented.</t>
        </is>
      </c>
      <c r="F27" s="2" t="inlineStr">
        <is>
          <t>Official organization or government page; public contact route</t>
        </is>
      </c>
      <c r="G27" s="2" t="inlineStr">
        <is>
          <t>Intake only confirmed when expressly stated; no email deliverability test</t>
        </is>
      </c>
      <c r="H27" s="4" t="n">
        <v>46301</v>
      </c>
    </row>
    <row r="28" ht="78" customHeight="1">
      <c r="A28" s="2" t="inlineStr">
        <is>
          <t>CC-027</t>
        </is>
      </c>
      <c r="B28" s="2" t="inlineStr">
        <is>
          <t>Dtec SANDBOX</t>
        </is>
      </c>
      <c r="C28" s="3" t="inlineStr">
        <is>
          <t>https://dtec.ae/programs/</t>
        </is>
      </c>
      <c r="D28" s="3" t="inlineStr">
        <is>
          <t>https://dtec.ae/programs/</t>
        </is>
      </c>
      <c r="E28" s="2" t="inlineStr">
        <is>
          <t>Official Dtec programme page supplies application route.</t>
        </is>
      </c>
      <c r="F28" s="2" t="inlineStr">
        <is>
          <t>Official organization or government page; public contact route</t>
        </is>
      </c>
      <c r="G28" s="2" t="inlineStr">
        <is>
          <t>Intake only confirmed when expressly stated; no email deliverability test</t>
        </is>
      </c>
      <c r="H28" s="4" t="n">
        <v>46301</v>
      </c>
    </row>
    <row r="29" ht="78" customHeight="1">
      <c r="A29" s="2" t="inlineStr">
        <is>
          <t>CC-028</t>
        </is>
      </c>
      <c r="B29" s="2" t="inlineStr">
        <is>
          <t>MBZUAI Incubation &amp; Entrepreneurship Center</t>
        </is>
      </c>
      <c r="C29" s="3" t="inlineStr">
        <is>
          <t>https://mbzuai.ac.ae/innovation-partnerships/incubation-entrepreneurship-center</t>
        </is>
      </c>
      <c r="D29" s="3" t="inlineStr">
        <is>
          <t>https://mbzuai.ac.ae/innovation-partnerships/incubation-entrepreneurship-center</t>
        </is>
      </c>
      <c r="E29" s="2" t="inlineStr">
        <is>
          <t>External events open; grant limited to affiliated founders.</t>
        </is>
      </c>
      <c r="F29" s="2" t="inlineStr">
        <is>
          <t>Official organization or government page; public contact route</t>
        </is>
      </c>
      <c r="G29" s="2" t="inlineStr">
        <is>
          <t>Intake only confirmed when expressly stated; no email deliverability test</t>
        </is>
      </c>
      <c r="H29" s="4" t="n">
        <v>46301</v>
      </c>
    </row>
    <row r="30" ht="78" customHeight="1">
      <c r="A30" s="2" t="inlineStr">
        <is>
          <t>CC-029</t>
        </is>
      </c>
      <c r="B30" s="2" t="inlineStr">
        <is>
          <t>Wamda Capital</t>
        </is>
      </c>
      <c r="C30" s="3" t="inlineStr">
        <is>
          <t>https://www.wamda.com/about</t>
        </is>
      </c>
      <c r="D30" s="3" t="inlineStr">
        <is>
          <t>https://wamdacapital.com/contact-us/</t>
        </is>
      </c>
      <c r="E30" s="2" t="inlineStr">
        <is>
          <t>Official investment vehicle described as high-growth technology investor.</t>
        </is>
      </c>
      <c r="F30" s="2" t="inlineStr">
        <is>
          <t>Official organization or government page; public contact route</t>
        </is>
      </c>
      <c r="G30" s="2" t="inlineStr">
        <is>
          <t>Intake only confirmed when expressly stated; no email deliverability test</t>
        </is>
      </c>
      <c r="H30" s="4" t="n">
        <v>46301</v>
      </c>
    </row>
    <row r="31" ht="78" customHeight="1">
      <c r="A31" s="2" t="inlineStr">
        <is>
          <t>CC-030</t>
        </is>
      </c>
      <c r="B31" s="2" t="inlineStr">
        <is>
          <t>Gulf Capital</t>
        </is>
      </c>
      <c r="C31" s="3" t="inlineStr">
        <is>
          <t>https://www.gulfcapital.com/the-firm</t>
        </is>
      </c>
      <c r="D31" s="3" t="inlineStr">
        <is>
          <t>https://www.gulfcapital.com/contact-us</t>
        </is>
      </c>
      <c r="E31" s="2" t="inlineStr">
        <is>
          <t>Authentic growth/private equity firm.</t>
        </is>
      </c>
      <c r="F31" s="2" t="inlineStr">
        <is>
          <t>Official organization or government page; public contact route</t>
        </is>
      </c>
      <c r="G31" s="2" t="inlineStr">
        <is>
          <t>Intake only confirmed when expressly stated; no email deliverability test</t>
        </is>
      </c>
      <c r="H31" s="4" t="n">
        <v>46301</v>
      </c>
    </row>
    <row r="32" ht="78" customHeight="1">
      <c r="A32" s="2" t="inlineStr">
        <is>
          <t>CC-031</t>
        </is>
      </c>
      <c r="B32" s="2" t="inlineStr">
        <is>
          <t>NTU Energy Research Institute (ERI@N)</t>
        </is>
      </c>
      <c r="C32" s="3" t="inlineStr">
        <is>
          <t>https://www.ntu.edu.sg/erian/industry-partners</t>
        </is>
      </c>
      <c r="D32" s="3" t="inlineStr">
        <is>
          <t>https://www.ntu.edu.sg/erian/industry-partners</t>
        </is>
      </c>
      <c r="E32" s="2" t="inlineStr">
        <is>
          <t>Institute invites collaboration and documents industry research/IP agreements.</t>
        </is>
      </c>
      <c r="F32" s="2" t="inlineStr">
        <is>
          <t>Official organization or government page; public contact route</t>
        </is>
      </c>
      <c r="G32" s="2" t="inlineStr">
        <is>
          <t>Intake only confirmed when expressly stated; no email deliverability test</t>
        </is>
      </c>
      <c r="H32" s="4" t="n">
        <v>46301</v>
      </c>
    </row>
    <row r="33" ht="78" customHeight="1">
      <c r="A33" s="2" t="inlineStr">
        <is>
          <t>CC-032</t>
        </is>
      </c>
      <c r="B33" s="2" t="inlineStr">
        <is>
          <t>A*STAR ARTC</t>
        </is>
      </c>
      <c r="C33" s="3" t="inlineStr">
        <is>
          <t>https://www.a-star.edu.sg/artc/</t>
        </is>
      </c>
      <c r="D33" s="3" t="inlineStr">
        <is>
          <t>https://www.a-star.edu.sg/artc/contact-us</t>
        </is>
      </c>
      <c r="E33" s="2" t="inlineStr">
        <is>
          <t>Official manufacturing consortium includes startups.</t>
        </is>
      </c>
      <c r="F33" s="2" t="inlineStr">
        <is>
          <t>Official organization or government page; public contact route</t>
        </is>
      </c>
      <c r="G33" s="2" t="inlineStr">
        <is>
          <t>Intake only confirmed when expressly stated; no email deliverability test</t>
        </is>
      </c>
      <c r="H33" s="4" t="n">
        <v>46301</v>
      </c>
    </row>
    <row r="34" ht="78" customHeight="1">
      <c r="A34" s="2" t="inlineStr">
        <is>
          <t>CC-033</t>
        </is>
      </c>
      <c r="B34" s="2" t="inlineStr">
        <is>
          <t>Wavemaker Ventures</t>
        </is>
      </c>
      <c r="C34" s="3" t="inlineStr">
        <is>
          <t>https://wavemaker.vc/our-investment-thesis/</t>
        </is>
      </c>
      <c r="D34" s="3" t="inlineStr">
        <is>
          <t>https://wavemaker.vc/contact-us/</t>
        </is>
      </c>
      <c r="E34" s="2" t="inlineStr">
        <is>
          <t>Official early-stage thesis closely matches enterprise and sustainability.</t>
        </is>
      </c>
      <c r="F34" s="2" t="inlineStr">
        <is>
          <t>Official organization or government page; public contact route</t>
        </is>
      </c>
      <c r="G34" s="2" t="inlineStr">
        <is>
          <t>Intake only confirmed when expressly stated; no email deliverability test</t>
        </is>
      </c>
      <c r="H34" s="4" t="n">
        <v>46301</v>
      </c>
    </row>
    <row r="35" ht="78" customHeight="1">
      <c r="A35" s="2" t="inlineStr">
        <is>
          <t>CC-034</t>
        </is>
      </c>
      <c r="B35" s="2" t="inlineStr">
        <is>
          <t>BCA Green Buildings Innovation Cluster</t>
        </is>
      </c>
      <c r="C35" s="3" t="inlineStr">
        <is>
          <t>https://www1.bca.gov.sg/sustainability/green-buildings-innovation-cluster-gbic-programme/</t>
        </is>
      </c>
      <c r="D35" s="3" t="inlineStr">
        <is>
          <t>https://www1.bca.gov.sg/sustainability/green-buildings-innovation-cluster-gbic-programme/</t>
        </is>
      </c>
      <c r="E35" s="2" t="inlineStr">
        <is>
          <t>GBIC supports development and prototyping with energy-performance thresholds.</t>
        </is>
      </c>
      <c r="F35" s="2" t="inlineStr">
        <is>
          <t>Official organization or government page; public contact route</t>
        </is>
      </c>
      <c r="G35" s="2" t="inlineStr">
        <is>
          <t>Intake only confirmed when expressly stated; no email deliverability test</t>
        </is>
      </c>
      <c r="H35" s="4" t="n">
        <v>46301</v>
      </c>
    </row>
    <row r="36" ht="78" customHeight="1">
      <c r="A36" s="2" t="inlineStr">
        <is>
          <t>CC-035</t>
        </is>
      </c>
      <c r="B36" s="2" t="inlineStr">
        <is>
          <t>SUTD industry collaborations</t>
        </is>
      </c>
      <c r="C36" s="3" t="inlineStr">
        <is>
          <t>https://www.sutd.edu.sg/about/partnering-with-sutd/</t>
        </is>
      </c>
      <c r="D36" s="3" t="inlineStr">
        <is>
          <t>https://www.sutd.edu.sg/contact-us/contact-sutd/</t>
        </is>
      </c>
      <c r="E36" s="2" t="inlineStr">
        <is>
          <t>Official industry partnership and research collaboration routes.</t>
        </is>
      </c>
      <c r="F36" s="2" t="inlineStr">
        <is>
          <t>Official organization or government page; public contact route</t>
        </is>
      </c>
      <c r="G36" s="2" t="inlineStr">
        <is>
          <t>Intake only confirmed when expressly stated; no email deliverability test</t>
        </is>
      </c>
      <c r="H36" s="4" t="n">
        <v>46301</v>
      </c>
    </row>
    <row r="37" ht="78" customHeight="1">
      <c r="A37" s="2" t="inlineStr">
        <is>
          <t>CC-036</t>
        </is>
      </c>
      <c r="B37" s="2" t="inlineStr">
        <is>
          <t>NUS Research Concierge</t>
        </is>
      </c>
      <c r="C37" s="3" t="inlineStr">
        <is>
          <t>https://nus.edu.sg/research/odprt-home/research-concierge</t>
        </is>
      </c>
      <c r="D37" s="3" t="inlineStr">
        <is>
          <t>https://nus.edu.sg/research/odprt-home/research-concierge</t>
        </is>
      </c>
      <c r="E37" s="2" t="inlineStr">
        <is>
          <t>Official bridge between academia, government and industry.</t>
        </is>
      </c>
      <c r="F37" s="2" t="inlineStr">
        <is>
          <t>Official organization or government page; public contact route</t>
        </is>
      </c>
      <c r="G37" s="2" t="inlineStr">
        <is>
          <t>Intake only confirmed when expressly stated; no email deliverability test</t>
        </is>
      </c>
      <c r="H37" s="4" t="n">
        <v>46301</v>
      </c>
    </row>
    <row r="38" ht="78" customHeight="1">
      <c r="A38" s="2" t="inlineStr">
        <is>
          <t>CC-037</t>
        </is>
      </c>
      <c r="B38" s="2" t="inlineStr">
        <is>
          <t>Singapore Green Building Council</t>
        </is>
      </c>
      <c r="C38" s="3" t="inlineStr">
        <is>
          <t>https://www.sgbc.sg/membership/about-sgbc-membership/</t>
        </is>
      </c>
      <c r="D38" s="3" t="inlineStr">
        <is>
          <t>https://www.sgbc.sg/contact-us/</t>
        </is>
      </c>
      <c r="E38" s="2" t="inlineStr">
        <is>
          <t>Council administers industry certification and membership activities.</t>
        </is>
      </c>
      <c r="F38" s="2" t="inlineStr">
        <is>
          <t>Official organization or government page; public contact route</t>
        </is>
      </c>
      <c r="G38" s="2" t="inlineStr">
        <is>
          <t>Intake only confirmed when expressly stated; no email deliverability test</t>
        </is>
      </c>
      <c r="H38" s="4" t="n">
        <v>46301</v>
      </c>
    </row>
    <row r="39" ht="78" customHeight="1">
      <c r="A39" s="2" t="inlineStr">
        <is>
          <t>CC-038</t>
        </is>
      </c>
      <c r="B39" s="2" t="inlineStr">
        <is>
          <t>SGInnovate</t>
        </is>
      </c>
      <c r="C39" s="3" t="inlineStr">
        <is>
          <t>https://www.sginnovate.com/our-approach</t>
        </is>
      </c>
      <c r="D39" s="3" t="inlineStr">
        <is>
          <t>https://www.sginnovate.com/contact-us</t>
        </is>
      </c>
      <c r="E39" s="2" t="inlineStr">
        <is>
          <t>Strategic investor translating research into emerging technology.</t>
        </is>
      </c>
      <c r="F39" s="2" t="inlineStr">
        <is>
          <t>Official organization or government page; public contact route</t>
        </is>
      </c>
      <c r="G39" s="2" t="inlineStr">
        <is>
          <t>Intake only confirmed when expressly stated; no email deliverability test</t>
        </is>
      </c>
      <c r="H39" s="4" t="n">
        <v>46301</v>
      </c>
    </row>
    <row r="40" ht="78" customHeight="1">
      <c r="A40" s="2" t="inlineStr">
        <is>
          <t>CC-039</t>
        </is>
      </c>
      <c r="B40" s="2" t="inlineStr">
        <is>
          <t>SEEDS / Startup SG Equity</t>
        </is>
      </c>
      <c r="C40" s="3" t="inlineStr">
        <is>
          <t>https://www.seedscapital.sg/about-us/our-co-investment-model/</t>
        </is>
      </c>
      <c r="D40" s="3" t="inlineStr">
        <is>
          <t>https://www.seedscapital.sg/</t>
        </is>
      </c>
      <c r="E40" s="2" t="inlineStr">
        <is>
          <t>Government co-investment alongside private sector partners.</t>
        </is>
      </c>
      <c r="F40" s="2" t="inlineStr">
        <is>
          <t>Official organization or government page; public contact route</t>
        </is>
      </c>
      <c r="G40" s="2" t="inlineStr">
        <is>
          <t>Intake only confirmed when expressly stated; no email deliverability test</t>
        </is>
      </c>
      <c r="H40" s="4" t="n">
        <v>46301</v>
      </c>
    </row>
    <row r="41" ht="78" customHeight="1">
      <c r="A41" s="2" t="inlineStr">
        <is>
          <t>CC-040</t>
        </is>
      </c>
      <c r="B41" s="2" t="inlineStr">
        <is>
          <t>Startup SG Tech</t>
        </is>
      </c>
      <c r="C41" s="3" t="inlineStr">
        <is>
          <t>https://www.edb.gov.sg/en/business-insights/insights/partners-programmes-to-accelerate-your-startup-s-trajectory-in-singapore.html</t>
        </is>
      </c>
      <c r="D41" s="3" t="inlineStr">
        <is>
          <t>https://www.startupsg.gov.sg/programmes/</t>
        </is>
      </c>
      <c r="E41" s="2" t="inlineStr">
        <is>
          <t>Official EDB overview states local shareholding requirement; overview is older.</t>
        </is>
      </c>
      <c r="F41" s="2" t="inlineStr">
        <is>
          <t>Official organization or government page; public contact route</t>
        </is>
      </c>
      <c r="G41" s="2" t="inlineStr">
        <is>
          <t>Intake only confirmed when expressly stated; no email deliverability test</t>
        </is>
      </c>
      <c r="H41" s="4" t="n">
        <v>46301</v>
      </c>
    </row>
    <row r="42" ht="78" customHeight="1">
      <c r="A42" s="2" t="inlineStr">
        <is>
          <t>CC-041</t>
        </is>
      </c>
      <c r="B42" s="2" t="inlineStr">
        <is>
          <t>Navis Capital Partners</t>
        </is>
      </c>
      <c r="C42" s="3" t="inlineStr">
        <is>
          <t>https://www.naviscapital.com/private-equity/the-navis-approach/</t>
        </is>
      </c>
      <c r="D42" s="3" t="inlineStr">
        <is>
          <t>https://www.naviscapital.com/contact-us/</t>
        </is>
      </c>
      <c r="E42" s="2" t="inlineStr">
        <is>
          <t>Official strategy describes controlling PE investments.</t>
        </is>
      </c>
      <c r="F42" s="2" t="inlineStr">
        <is>
          <t>Official organization or government page; public contact route</t>
        </is>
      </c>
      <c r="G42" s="2" t="inlineStr">
        <is>
          <t>Intake only confirmed when expressly stated; no email deliverability test</t>
        </is>
      </c>
      <c r="H42" s="4" t="n">
        <v>46301</v>
      </c>
    </row>
    <row r="43" ht="78" customHeight="1">
      <c r="A43" s="2" t="inlineStr">
        <is>
          <t>CC-042</t>
        </is>
      </c>
      <c r="B43" s="2" t="inlineStr">
        <is>
          <t>IIT Madras Research Park Energy &amp; Sustainability</t>
        </is>
      </c>
      <c r="C43" s="3" t="inlineStr">
        <is>
          <t>https://respark.iitm.ac.in/energy-sustainability</t>
        </is>
      </c>
      <c r="D43" s="3" t="inlineStr">
        <is>
          <t>https://respark.iitm.ac.in/energy-sustainability</t>
        </is>
      </c>
      <c r="E43" s="2" t="inlineStr">
        <is>
          <t>Official energy/sustainability programme with direct contact.</t>
        </is>
      </c>
      <c r="F43" s="2" t="inlineStr">
        <is>
          <t>Official organization or government page; public contact route</t>
        </is>
      </c>
      <c r="G43" s="2" t="inlineStr">
        <is>
          <t>Intake only confirmed when expressly stated; no email deliverability test</t>
        </is>
      </c>
      <c r="H43" s="4" t="n">
        <v>46301</v>
      </c>
    </row>
    <row r="44" ht="78" customHeight="1">
      <c r="A44" s="2" t="inlineStr">
        <is>
          <t>CC-043</t>
        </is>
      </c>
      <c r="B44" s="2" t="inlineStr">
        <is>
          <t>IIT Madras Incubation Cell</t>
        </is>
      </c>
      <c r="C44" s="3" t="inlineStr">
        <is>
          <t>https://www.iitm.ac.in/research-park/incubation-cell</t>
        </is>
      </c>
      <c r="D44" s="3" t="inlineStr">
        <is>
          <t>https://respark.iitm.ac.in/startups</t>
        </is>
      </c>
      <c r="E44" s="2" t="inlineStr">
        <is>
          <t>Official institute describes deep-tech hub; Research Park gives mailbox.</t>
        </is>
      </c>
      <c r="F44" s="2" t="inlineStr">
        <is>
          <t>Official organization or government page; public contact route</t>
        </is>
      </c>
      <c r="G44" s="2" t="inlineStr">
        <is>
          <t>Intake only confirmed when expressly stated; no email deliverability test</t>
        </is>
      </c>
      <c r="H44" s="4" t="n">
        <v>46301</v>
      </c>
    </row>
    <row r="45" ht="78" customHeight="1">
      <c r="A45" s="2" t="inlineStr">
        <is>
          <t>CC-044</t>
        </is>
      </c>
      <c r="B45" s="2" t="inlineStr">
        <is>
          <t>MeitY–nasscom CoE IoT &amp; AI</t>
        </is>
      </c>
      <c r="C45" s="3" t="inlineStr">
        <is>
          <t>https://startupharyana.gov.in/front/incubator/dbeab2eb-1777-4119-b5b1-5affdef89a10</t>
        </is>
      </c>
      <c r="D45" s="3" t="inlineStr">
        <is>
          <t>https://startupharyana.gov.in/front/incubator/dbeab2eb-1777-4119-b5b1-5affdef89a10</t>
        </is>
      </c>
      <c r="E45" s="2" t="inlineStr">
        <is>
          <t>Government portal lists CoE mission and public email.</t>
        </is>
      </c>
      <c r="F45" s="2" t="inlineStr">
        <is>
          <t>Official organization or government page; public contact route</t>
        </is>
      </c>
      <c r="G45" s="2" t="inlineStr">
        <is>
          <t>Intake only confirmed when expressly stated; no email deliverability test</t>
        </is>
      </c>
      <c r="H45" s="4" t="n">
        <v>46301</v>
      </c>
    </row>
    <row r="46" ht="78" customHeight="1">
      <c r="A46" s="2" t="inlineStr">
        <is>
          <t>CC-045</t>
        </is>
      </c>
      <c r="B46" s="2" t="inlineStr">
        <is>
          <t>CII Indian Green Building Council</t>
        </is>
      </c>
      <c r="C46" s="3" t="inlineStr">
        <is>
          <t>https://www.igbc.in/organisational-membership</t>
        </is>
      </c>
      <c r="D46" s="3" t="inlineStr">
        <is>
          <t>https://www.igbc.in/contact-us</t>
        </is>
      </c>
      <c r="E46" s="2" t="inlineStr">
        <is>
          <t>Official organizational membership and contact published.</t>
        </is>
      </c>
      <c r="F46" s="2" t="inlineStr">
        <is>
          <t>Official organization or government page; public contact route</t>
        </is>
      </c>
      <c r="G46" s="2" t="inlineStr">
        <is>
          <t>Intake only confirmed when expressly stated; no email deliverability test</t>
        </is>
      </c>
      <c r="H46" s="4" t="n">
        <v>46301</v>
      </c>
    </row>
    <row r="47" ht="78" customHeight="1">
      <c r="A47" s="2" t="inlineStr">
        <is>
          <t>CC-046</t>
        </is>
      </c>
      <c r="B47" s="2" t="inlineStr">
        <is>
          <t>Transition VC</t>
        </is>
      </c>
      <c r="C47" s="3" t="inlineStr">
        <is>
          <t>https://www.transitionventurecapital.com/</t>
        </is>
      </c>
      <c r="D47" s="3" t="inlineStr">
        <is>
          <t>https://www.transitionventurecapital.com/contact</t>
        </is>
      </c>
      <c r="E47" s="2" t="inlineStr">
        <is>
          <t>Official energy-transition fund states pre-seed to Series A.</t>
        </is>
      </c>
      <c r="F47" s="2" t="inlineStr">
        <is>
          <t>Official organization or government page; public contact route</t>
        </is>
      </c>
      <c r="G47" s="2" t="inlineStr">
        <is>
          <t>Intake only confirmed when expressly stated; no email deliverability test</t>
        </is>
      </c>
      <c r="H47" s="4" t="n">
        <v>46301</v>
      </c>
    </row>
    <row r="48" ht="78" customHeight="1">
      <c r="A48" s="2" t="inlineStr">
        <is>
          <t>CC-047</t>
        </is>
      </c>
      <c r="B48" s="2" t="inlineStr">
        <is>
          <t>BEE Energy Efficiency Financing Platform</t>
        </is>
      </c>
      <c r="C48" s="3" t="inlineStr">
        <is>
          <t>https://www.beeindia.gov.in/show_content.php?lang=1&amp;level=2&amp;lid=419&amp;ls_id=344</t>
        </is>
      </c>
      <c r="D48" s="3" t="inlineStr">
        <is>
          <t>https://www.beeindia.gov.in/show_content.php?lang=1&amp;level=2&amp;lid=419&amp;ls_id=344</t>
        </is>
      </c>
      <c r="E48" s="2" t="inlineStr">
        <is>
          <t>Official EEFP brings financiers and project developers together and references IoT MSME collaboration.</t>
        </is>
      </c>
      <c r="F48" s="2" t="inlineStr">
        <is>
          <t>Official organization or government page; public contact route</t>
        </is>
      </c>
      <c r="G48" s="2" t="inlineStr">
        <is>
          <t>Intake only confirmed when expressly stated; no email deliverability test</t>
        </is>
      </c>
      <c r="H48" s="4" t="n">
        <v>46301</v>
      </c>
    </row>
    <row r="49" ht="78" customHeight="1">
      <c r="A49" s="2" t="inlineStr">
        <is>
          <t>CC-048</t>
        </is>
      </c>
      <c r="B49" s="2" t="inlineStr">
        <is>
          <t>Speciale Invest</t>
        </is>
      </c>
      <c r="C49" s="3" t="inlineStr">
        <is>
          <t>https://www.specialeinvest.com/about</t>
        </is>
      </c>
      <c r="D49" s="3" t="inlineStr">
        <is>
          <t>https://www.specialeinvest.com/contact</t>
        </is>
      </c>
      <c r="E49" s="2" t="inlineStr">
        <is>
          <t>Official mandate covers science- and engineering-first hardware/software.</t>
        </is>
      </c>
      <c r="F49" s="2" t="inlineStr">
        <is>
          <t>Official organization or government page; public contact route</t>
        </is>
      </c>
      <c r="G49" s="2" t="inlineStr">
        <is>
          <t>Intake only confirmed when expressly stated; no email deliverability test</t>
        </is>
      </c>
      <c r="H49" s="4" t="n">
        <v>46301</v>
      </c>
    </row>
    <row r="50" ht="78" customHeight="1">
      <c r="A50" s="2" t="inlineStr">
        <is>
          <t>CC-049</t>
        </is>
      </c>
      <c r="B50" s="2" t="inlineStr">
        <is>
          <t>Anicut Seed Fund</t>
        </is>
      </c>
      <c r="C50" s="3" t="inlineStr">
        <is>
          <t>https://www.anicutcapital.com/seed/</t>
        </is>
      </c>
      <c r="D50" s="3" t="inlineStr">
        <is>
          <t>https://www.anicutcapital.com/contact/</t>
        </is>
      </c>
      <c r="E50" s="2" t="inlineStr">
        <is>
          <t>Official seed fund describes stage and investment pillars.</t>
        </is>
      </c>
      <c r="F50" s="2" t="inlineStr">
        <is>
          <t>Official organization or government page; public contact route</t>
        </is>
      </c>
      <c r="G50" s="2" t="inlineStr">
        <is>
          <t>Intake only confirmed when expressly stated; no email deliverability test</t>
        </is>
      </c>
      <c r="H50" s="4" t="n">
        <v>46301</v>
      </c>
    </row>
    <row r="51" ht="78" customHeight="1">
      <c r="A51" s="2" t="inlineStr">
        <is>
          <t>CC-050</t>
        </is>
      </c>
      <c r="B51" s="2" t="inlineStr">
        <is>
          <t>StartupTN TANSEED</t>
        </is>
      </c>
      <c r="C51" s="3" t="inlineStr">
        <is>
          <t>https://www.startupindia.gov.in/srf/portal/SRF_2022_Result_page/Tamil_Nadu.pdf</t>
        </is>
      </c>
      <c r="D51" s="3" t="inlineStr">
        <is>
          <t>https://startuptn.in/</t>
        </is>
      </c>
      <c r="E51" s="2" t="inlineStr">
        <is>
          <t>Government overview calls TANSEED equity-linked; do not assume non-dilutive.</t>
        </is>
      </c>
      <c r="F51" s="2" t="inlineStr">
        <is>
          <t>Official organization or government page; public contact route</t>
        </is>
      </c>
      <c r="G51" s="2" t="inlineStr">
        <is>
          <t>Intake only confirmed when expressly stated; no email deliverability test</t>
        </is>
      </c>
      <c r="H51" s="4" t="n">
        <v>46301</v>
      </c>
    </row>
    <row r="52" ht="78" customHeight="1">
      <c r="A52" s="2" t="inlineStr">
        <is>
          <t>CC-051</t>
        </is>
      </c>
      <c r="B52" s="2" t="inlineStr">
        <is>
          <t>Startup India Seed Fund Scheme (SISFS)</t>
        </is>
      </c>
      <c r="C52" s="3" t="inlineStr">
        <is>
          <t>https://seedfund.startupindia.gov.in/about</t>
        </is>
      </c>
      <c r="D52" s="3" t="inlineStr">
        <is>
          <t>https://seedfund.startupindia.gov.in/faq</t>
        </is>
      </c>
      <c r="E52" s="2" t="inlineStr">
        <is>
          <t>Official scheme lists incorporation-age and Indian-promoter ownership gates.</t>
        </is>
      </c>
      <c r="F52" s="2" t="inlineStr">
        <is>
          <t>Official organization or government page; public contact route</t>
        </is>
      </c>
      <c r="G52" s="2" t="inlineStr">
        <is>
          <t>Intake only confirmed when expressly stated; no email deliverability test</t>
        </is>
      </c>
      <c r="H52" s="4" t="n">
        <v>46301</v>
      </c>
    </row>
    <row r="53" ht="78" customHeight="1">
      <c r="A53" s="2" t="inlineStr">
        <is>
          <t>CC-052</t>
        </is>
      </c>
      <c r="B53" s="2" t="inlineStr">
        <is>
          <t>Everstone Capital</t>
        </is>
      </c>
      <c r="C53" s="3" t="inlineStr">
        <is>
          <t>https://everstonecapital.com/</t>
        </is>
      </c>
      <c r="D53" s="3" t="inlineStr">
        <is>
          <t>https://everstonecapital.com/contact/</t>
        </is>
      </c>
      <c r="E53" s="2" t="inlineStr">
        <is>
          <t>Official India/SEA PE platform; contact includes fund registrations.</t>
        </is>
      </c>
      <c r="F53" s="2" t="inlineStr">
        <is>
          <t>Official organization or government page; public contact route</t>
        </is>
      </c>
      <c r="G53" s="2" t="inlineStr">
        <is>
          <t>Intake only confirmed when expressly stated; no email deliverability test</t>
        </is>
      </c>
      <c r="H53" s="4" t="n">
        <v>46301</v>
      </c>
    </row>
  </sheetData>
  <autoFilter ref="A1:H5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05"/>
  </tableParts>
</worksheet>
</file>

<file path=xl/worksheets/sheet11.xml><?xml version="1.0" encoding="utf-8"?>
<worksheet xmlns="http://schemas.openxmlformats.org/spreadsheetml/2006/main">
  <sheetPr>
    <tabColor rgb="00007F86"/>
    <outlinePr summaryBelow="1" summaryRight="1"/>
    <pageSetUpPr fitToPage="1"/>
  </sheetPr>
  <dimension ref="A1:O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7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65" customWidth="1" min="11" max="11"/>
    <col width="45" customWidth="1" min="12" max="12"/>
    <col width="26" customWidth="1" min="13" max="13"/>
    <col width="50" customWidth="1" min="14" max="14"/>
    <col width="55" customWidth="1" min="15" max="15"/>
  </cols>
  <sheetData>
    <row r="1" ht="32" customHeight="1">
      <c r="A1" s="1" t="inlineStr">
        <is>
          <t>Prospect ID</t>
        </is>
      </c>
      <c r="B1" s="1" t="inlineStr">
        <is>
          <t>Country</t>
        </is>
      </c>
      <c r="C1" s="1" t="inlineStr">
        <is>
          <t>Organization</t>
        </is>
      </c>
      <c r="D1" s="1" t="inlineStr">
        <is>
          <t>Recommended route</t>
        </is>
      </c>
      <c r="E1" s="1" t="inlineStr">
        <is>
          <t>Proposed owner</t>
        </is>
      </c>
      <c r="F1" s="1" t="inlineStr">
        <is>
          <t>Status</t>
        </is>
      </c>
      <c r="G1" s="1" t="inlineStr">
        <is>
          <t>First sent</t>
        </is>
      </c>
      <c r="H1" s="1" t="inlineStr">
        <is>
          <t>Follow-up 1</t>
        </is>
      </c>
      <c r="I1" s="1" t="inlineStr">
        <is>
          <t>Follow-up 2</t>
        </is>
      </c>
      <c r="J1" s="1" t="inlineStr">
        <is>
          <t>Next action date</t>
        </is>
      </c>
      <c r="K1" s="1" t="inlineStr">
        <is>
          <t>Specific ask</t>
        </is>
      </c>
      <c r="L1" s="1" t="inlineStr">
        <is>
          <t>Confirmed contact / reply</t>
        </is>
      </c>
      <c r="M1" s="1" t="inlineStr">
        <is>
          <t>Eligibility decision</t>
        </is>
      </c>
      <c r="N1" s="1" t="inlineStr">
        <is>
          <t>Notes / outcome</t>
        </is>
      </c>
      <c r="O1" s="1" t="inlineStr">
        <is>
          <t>Source</t>
        </is>
      </c>
    </row>
    <row r="2" ht="78" customHeight="1">
      <c r="A2" s="2" t="inlineStr">
        <is>
          <t>CC-001</t>
        </is>
      </c>
      <c r="B2" s="2" t="inlineStr">
        <is>
          <t>USA</t>
        </is>
      </c>
      <c r="C2" s="2" t="inlineStr">
        <is>
          <t>AWS Activate</t>
        </is>
      </c>
      <c r="D2" s="2" t="inlineStr">
        <is>
          <t>Contact now</t>
        </is>
      </c>
      <c r="E2" s="2" t="inlineStr">
        <is>
          <t>Senthil + Dr. Vijendran (proposed)</t>
        </is>
      </c>
      <c r="F2" s="2" t="inlineStr">
        <is>
          <t>Not contacted</t>
        </is>
      </c>
      <c r="G2" s="4" t="n"/>
      <c r="H2" s="4">
        <f>IF(G2="","",G2+5)</f>
        <v/>
      </c>
      <c r="I2" s="4">
        <f>IF(G2="","",G2+12)</f>
        <v/>
      </c>
      <c r="J2" s="4" t="n"/>
      <c r="K2" s="2" t="inlineStr">
        <is>
          <t>Check prior credits, then apply for appropriate tier to support CK/ESG/Yardos demos.</t>
        </is>
      </c>
      <c r="L2" s="2" t="inlineStr"/>
      <c r="M2" s="2" t="inlineStr"/>
      <c r="N2" s="2" t="inlineStr"/>
      <c r="O2" s="3" t="inlineStr">
        <is>
          <t>https://aws.amazon.com/startups/credits/</t>
        </is>
      </c>
    </row>
    <row r="3" ht="78" customHeight="1">
      <c r="A3" s="2" t="inlineStr">
        <is>
          <t>CC-002</t>
        </is>
      </c>
      <c r="B3" s="2" t="inlineStr">
        <is>
          <t>USA</t>
        </is>
      </c>
      <c r="C3" s="2" t="inlineStr">
        <is>
          <t>CO.LAB / The Company Lab</t>
        </is>
      </c>
      <c r="D3" s="2" t="inlineStr">
        <is>
          <t>Contact now</t>
        </is>
      </c>
      <c r="E3" s="2" t="inlineStr">
        <is>
          <t>Senthil + Dr. Vijendran (proposed)</t>
        </is>
      </c>
      <c r="F3" s="2" t="inlineStr">
        <is>
          <t>Not contacted</t>
        </is>
      </c>
      <c r="G3" s="4" t="n"/>
      <c r="H3" s="4">
        <f>IF(G3="","",G3+5)</f>
        <v/>
      </c>
      <c r="I3" s="4">
        <f>IF(G3="","",G3+12)</f>
        <v/>
      </c>
      <c r="J3" s="4" t="n"/>
      <c r="K3" s="2" t="inlineStr">
        <is>
          <t>Request energy-cohort screening and utility/industrial pilot introductions for CK + ESG AIoT.</t>
        </is>
      </c>
      <c r="L3" s="2" t="inlineStr"/>
      <c r="M3" s="2" t="inlineStr"/>
      <c r="N3" s="2" t="inlineStr"/>
      <c r="O3" s="3" t="inlineStr">
        <is>
          <t>https://thecompanylab.org/accelerator/energy-innovation/</t>
        </is>
      </c>
    </row>
    <row r="4" ht="78" customHeight="1">
      <c r="A4" s="2" t="inlineStr">
        <is>
          <t>CC-003</t>
        </is>
      </c>
      <c r="B4" s="2" t="inlineStr">
        <is>
          <t>USA</t>
        </is>
      </c>
      <c r="C4" s="2" t="inlineStr">
        <is>
          <t>Rutgers EcoComplex</t>
        </is>
      </c>
      <c r="D4" s="2" t="inlineStr">
        <is>
          <t>Contact now</t>
        </is>
      </c>
      <c r="E4" s="2" t="inlineStr">
        <is>
          <t>Dr. Vijendran + Kumar (proposed)</t>
        </is>
      </c>
      <c r="F4" s="2" t="inlineStr">
        <is>
          <t>Not contacted</t>
        </is>
      </c>
      <c r="G4" s="4" t="n"/>
      <c r="H4" s="4">
        <f>IF(G4="","",G4+5)</f>
        <v/>
      </c>
      <c r="I4" s="4">
        <f>IF(G4="","",G4+12)</f>
        <v/>
      </c>
      <c r="J4" s="4" t="n"/>
      <c r="K4" s="2" t="inlineStr">
        <is>
          <t>Request lab validation scope for energy/AQ/water and vertical-farm monitoring.</t>
        </is>
      </c>
      <c r="L4" s="2" t="inlineStr"/>
      <c r="M4" s="2" t="inlineStr"/>
      <c r="N4" s="2" t="inlineStr"/>
      <c r="O4" s="3" t="inlineStr">
        <is>
          <t>https://ecocomplex.rutgers.edu/incubator-businesses.html</t>
        </is>
      </c>
    </row>
    <row r="5" ht="78" customHeight="1">
      <c r="A5" s="2" t="inlineStr">
        <is>
          <t>CC-004</t>
        </is>
      </c>
      <c r="B5" s="2" t="inlineStr">
        <is>
          <t>USA</t>
        </is>
      </c>
      <c r="C5" s="2" t="inlineStr">
        <is>
          <t>AHLA / HTNG AI Community</t>
        </is>
      </c>
      <c r="D5" s="2" t="inlineStr">
        <is>
          <t>Contact now</t>
        </is>
      </c>
      <c r="E5" s="2" t="inlineStr">
        <is>
          <t>Senthil + Balaji + Surya (proposed)</t>
        </is>
      </c>
      <c r="F5" s="2" t="inlineStr">
        <is>
          <t>Not contacted</t>
        </is>
      </c>
      <c r="G5" s="4" t="n"/>
      <c r="H5" s="4">
        <f>IF(G5="","",G5+5)</f>
        <v/>
      </c>
      <c r="I5" s="4">
        <f>IF(G5="","",G5+12)</f>
        <v/>
      </c>
      <c r="J5" s="4" t="n"/>
      <c r="K5" s="2" t="inlineStr">
        <is>
          <t>Request interoperability/AI working-group access and hotel pilot introductions.</t>
        </is>
      </c>
      <c r="L5" s="2" t="inlineStr"/>
      <c r="M5" s="2" t="inlineStr"/>
      <c r="N5" s="2" t="inlineStr"/>
      <c r="O5" s="3" t="inlineStr">
        <is>
          <t>https://www.ahla.com/htng/communities-of-interest-artificial-intelligence</t>
        </is>
      </c>
    </row>
    <row r="6" ht="78" customHeight="1">
      <c r="A6" s="2" t="inlineStr">
        <is>
          <t>CC-005</t>
        </is>
      </c>
      <c r="B6" s="2" t="inlineStr">
        <is>
          <t>USA</t>
        </is>
      </c>
      <c r="C6" s="2" t="inlineStr">
        <is>
          <t>PSE&amp;G Energy Management / Trade Ally</t>
        </is>
      </c>
      <c r="D6" s="2" t="inlineStr">
        <is>
          <t>Contact now</t>
        </is>
      </c>
      <c r="E6" s="2" t="inlineStr">
        <is>
          <t>Senthil + Balaji + Surya (proposed)</t>
        </is>
      </c>
      <c r="F6" s="2" t="inlineStr">
        <is>
          <t>Not contacted</t>
        </is>
      </c>
      <c r="G6" s="4" t="n"/>
      <c r="H6" s="4">
        <f>IF(G6="","",G6+5)</f>
        <v/>
      </c>
      <c r="I6" s="4">
        <f>IF(G6="","",G6+12)</f>
        <v/>
      </c>
      <c r="J6" s="4" t="n"/>
      <c r="K6" s="2" t="inlineStr">
        <is>
          <t>Ask whether CK monitoring can qualify through an approved commissioning/ESCO partner.</t>
        </is>
      </c>
      <c r="L6" s="2" t="inlineStr"/>
      <c r="M6" s="2" t="inlineStr"/>
      <c r="N6" s="2" t="inlineStr"/>
      <c r="O6" s="3" t="inlineStr">
        <is>
          <t>https://bizsaveportal.pseg.com/TradeAlly/TradeAllyApplication/Begin</t>
        </is>
      </c>
    </row>
    <row r="7" ht="78" customHeight="1">
      <c r="A7" s="2" t="inlineStr">
        <is>
          <t>CC-006</t>
        </is>
      </c>
      <c r="B7" s="2" t="inlineStr">
        <is>
          <t>USA</t>
        </is>
      </c>
      <c r="C7" s="2" t="inlineStr">
        <is>
          <t>Third Derivative (RMI)</t>
        </is>
      </c>
      <c r="D7" s="2" t="inlineStr">
        <is>
          <t>Contact now</t>
        </is>
      </c>
      <c r="E7" s="2" t="inlineStr">
        <is>
          <t>Senthil + Dr. Vijendran (proposed)</t>
        </is>
      </c>
      <c r="F7" s="2" t="inlineStr">
        <is>
          <t>Not contacted</t>
        </is>
      </c>
      <c r="G7" s="4" t="n"/>
      <c r="H7" s="4">
        <f>IF(G7="","",G7+5)</f>
        <v/>
      </c>
      <c r="I7" s="4">
        <f>IF(G7="","",G7+12)</f>
        <v/>
      </c>
      <c r="J7" s="4" t="n"/>
      <c r="K7" s="2" t="inlineStr">
        <is>
          <t>Submit one climate use case with baseline-to-outcome measurement and pilot design.</t>
        </is>
      </c>
      <c r="L7" s="2" t="inlineStr"/>
      <c r="M7" s="2" t="inlineStr"/>
      <c r="N7" s="2" t="inlineStr"/>
      <c r="O7" s="3" t="inlineStr">
        <is>
          <t>https://www.third-derivative.org/startups</t>
        </is>
      </c>
    </row>
    <row r="8" ht="78" customHeight="1">
      <c r="A8" s="2" t="inlineStr">
        <is>
          <t>CC-007</t>
        </is>
      </c>
      <c r="B8" s="2" t="inlineStr">
        <is>
          <t>USA</t>
        </is>
      </c>
      <c r="C8" s="2" t="inlineStr">
        <is>
          <t>Clean Energy Venture Group</t>
        </is>
      </c>
      <c r="D8" s="2" t="inlineStr">
        <is>
          <t>Contact now</t>
        </is>
      </c>
      <c r="E8" s="2" t="inlineStr">
        <is>
          <t>Senthil + Dr. Vijendran (proposed)</t>
        </is>
      </c>
      <c r="F8" s="2" t="inlineStr">
        <is>
          <t>Not contacted</t>
        </is>
      </c>
      <c r="G8" s="4" t="n"/>
      <c r="H8" s="4">
        <f>IF(G8="","",G8+5)</f>
        <v/>
      </c>
      <c r="I8" s="4">
        <f>IF(G8="","",G8+12)</f>
        <v/>
      </c>
      <c r="J8" s="4" t="n"/>
      <c r="K8" s="2" t="inlineStr">
        <is>
          <t>Pitch first pilot financing for energy anomaly detection and predictive maintenance.</t>
        </is>
      </c>
      <c r="L8" s="2" t="inlineStr"/>
      <c r="M8" s="2" t="inlineStr"/>
      <c r="N8" s="2" t="inlineStr"/>
      <c r="O8" s="3" t="inlineStr">
        <is>
          <t>https://cleanenergyventures.com/working-with-us</t>
        </is>
      </c>
    </row>
    <row r="9" ht="78" customHeight="1">
      <c r="A9" s="2" t="inlineStr">
        <is>
          <t>CC-008</t>
        </is>
      </c>
      <c r="B9" s="2" t="inlineStr">
        <is>
          <t>USA</t>
        </is>
      </c>
      <c r="C9" s="2" t="inlineStr">
        <is>
          <t>Congruent Ventures</t>
        </is>
      </c>
      <c r="D9" s="2" t="inlineStr">
        <is>
          <t>Contact now</t>
        </is>
      </c>
      <c r="E9" s="2" t="inlineStr">
        <is>
          <t>Senthil + Dr. Vijendran (proposed)</t>
        </is>
      </c>
      <c r="F9" s="2" t="inlineStr">
        <is>
          <t>Not contacted</t>
        </is>
      </c>
      <c r="G9" s="4" t="n"/>
      <c r="H9" s="4">
        <f>IF(G9="","",G9+5)</f>
        <v/>
      </c>
      <c r="I9" s="4">
        <f>IF(G9="","",G9+12)</f>
        <v/>
      </c>
      <c r="J9" s="4" t="n"/>
      <c r="K9" s="2" t="inlineStr">
        <is>
          <t>Request seed screening with a focused CK/ESG wedge and 90-day pilot milestones.</t>
        </is>
      </c>
      <c r="L9" s="2" t="inlineStr"/>
      <c r="M9" s="2" t="inlineStr"/>
      <c r="N9" s="2" t="inlineStr"/>
      <c r="O9" s="3" t="inlineStr">
        <is>
          <t>https://www.congruentvc.com/</t>
        </is>
      </c>
    </row>
    <row r="10" ht="78" customHeight="1">
      <c r="A10" s="2" t="inlineStr">
        <is>
          <t>CC-009</t>
        </is>
      </c>
      <c r="B10" s="2" t="inlineStr">
        <is>
          <t>USA</t>
        </is>
      </c>
      <c r="C10" s="2" t="inlineStr">
        <is>
          <t>Elemental Impact</t>
        </is>
      </c>
      <c r="D10" s="2" t="inlineStr">
        <is>
          <t>Contact now</t>
        </is>
      </c>
      <c r="E10" s="2" t="inlineStr">
        <is>
          <t>Senthil + Dr. Vijendran (proposed)</t>
        </is>
      </c>
      <c r="F10" s="2" t="inlineStr">
        <is>
          <t>Not contacted</t>
        </is>
      </c>
      <c r="G10" s="4" t="n"/>
      <c r="H10" s="4">
        <f>IF(G10="","",G10+5)</f>
        <v/>
      </c>
      <c r="I10" s="4">
        <f>IF(G10="","",G10+12)</f>
        <v/>
      </c>
      <c r="J10" s="4" t="n"/>
      <c r="K10" s="2" t="inlineStr">
        <is>
          <t>Ask Strategy track fit for a pre-revenue, consultant-led team before full application.</t>
        </is>
      </c>
      <c r="L10" s="2" t="inlineStr"/>
      <c r="M10" s="2" t="inlineStr"/>
      <c r="N10" s="2" t="inlineStr"/>
      <c r="O10" s="3" t="inlineStr">
        <is>
          <t>https://elementalimpact.com/funding-opportunities/apply/</t>
        </is>
      </c>
    </row>
    <row r="11" ht="78" customHeight="1">
      <c r="A11" s="2" t="inlineStr">
        <is>
          <t>CC-010</t>
        </is>
      </c>
      <c r="B11" s="2" t="inlineStr">
        <is>
          <t>USA</t>
        </is>
      </c>
      <c r="C11" s="2" t="inlineStr">
        <is>
          <t>Cleantech Open</t>
        </is>
      </c>
      <c r="D11" s="2" t="inlineStr">
        <is>
          <t>Contact now</t>
        </is>
      </c>
      <c r="E11" s="2" t="inlineStr">
        <is>
          <t>Senthil + Dr. Vijendran (proposed)</t>
        </is>
      </c>
      <c r="F11" s="2" t="inlineStr">
        <is>
          <t>Not contacted</t>
        </is>
      </c>
      <c r="G11" s="4" t="n"/>
      <c r="H11" s="4">
        <f>IF(G11="","",G11+5)</f>
        <v/>
      </c>
      <c r="I11" s="4">
        <f>IF(G11="","",G11+12)</f>
        <v/>
      </c>
      <c r="J11" s="4" t="n"/>
      <c r="K11" s="2" t="inlineStr">
        <is>
          <t>Request next cohort and Northeast mentor introductions; lead with quantified conservation.</t>
        </is>
      </c>
      <c r="L11" s="2" t="inlineStr"/>
      <c r="M11" s="2" t="inlineStr"/>
      <c r="N11" s="2" t="inlineStr"/>
      <c r="O11" s="3" t="inlineStr">
        <is>
          <t>https://www.cleantechopen.org/en/page/2026-cto-accelerator-en</t>
        </is>
      </c>
    </row>
    <row r="12" ht="78" customHeight="1">
      <c r="A12" s="2" t="inlineStr">
        <is>
          <t>CC-011</t>
        </is>
      </c>
      <c r="B12" s="2" t="inlineStr">
        <is>
          <t>USA</t>
        </is>
      </c>
      <c r="C12" s="2" t="inlineStr">
        <is>
          <t>NJIT industry research</t>
        </is>
      </c>
      <c r="D12" s="2" t="inlineStr">
        <is>
          <t>Contact now</t>
        </is>
      </c>
      <c r="E12" s="2" t="inlineStr">
        <is>
          <t>Dr. Vijendran + Kumar (proposed)</t>
        </is>
      </c>
      <c r="F12" s="2" t="inlineStr">
        <is>
          <t>Not contacted</t>
        </is>
      </c>
      <c r="G12" s="4" t="n"/>
      <c r="H12" s="4">
        <f>IF(G12="","",G12+5)</f>
        <v/>
      </c>
      <c r="I12" s="4">
        <f>IF(G12="","",G12+12)</f>
        <v/>
      </c>
      <c r="J12" s="4" t="n"/>
      <c r="K12" s="2" t="inlineStr">
        <is>
          <t>Request research partner for sensor reliability and digital-twin verification.</t>
        </is>
      </c>
      <c r="L12" s="2" t="inlineStr"/>
      <c r="M12" s="2" t="inlineStr"/>
      <c r="N12" s="2" t="inlineStr"/>
      <c r="O12" s="3" t="inlineStr">
        <is>
          <t>https://research.njit.edu/forindustry</t>
        </is>
      </c>
    </row>
    <row r="13" ht="78" customHeight="1">
      <c r="A13" s="2" t="inlineStr">
        <is>
          <t>CC-012</t>
        </is>
      </c>
      <c r="B13" s="2" t="inlineStr">
        <is>
          <t>USA</t>
        </is>
      </c>
      <c r="C13" s="2" t="inlineStr">
        <is>
          <t>Digital Twin Consortium</t>
        </is>
      </c>
      <c r="D13" s="2" t="inlineStr">
        <is>
          <t>Contact now</t>
        </is>
      </c>
      <c r="E13" s="2" t="inlineStr">
        <is>
          <t>Senthil + Balaji + Surya (proposed)</t>
        </is>
      </c>
      <c r="F13" s="2" t="inlineStr">
        <is>
          <t>Not contacted</t>
        </is>
      </c>
      <c r="G13" s="4" t="n"/>
      <c r="H13" s="4">
        <f>IF(G13="","",G13+5)</f>
        <v/>
      </c>
      <c r="I13" s="4">
        <f>IF(G13="","",G13+12)</f>
        <v/>
      </c>
      <c r="J13" s="4" t="n"/>
      <c r="K13" s="2" t="inlineStr">
        <is>
          <t>Ask startup membership terms and energy/buildings testbed collaboration.</t>
        </is>
      </c>
      <c r="L13" s="2" t="inlineStr"/>
      <c r="M13" s="2" t="inlineStr"/>
      <c r="N13" s="2" t="inlineStr"/>
      <c r="O13" s="3" t="inlineStr">
        <is>
          <t>https://www.digitaltwinconsortium.org/dtcmembersearch/</t>
        </is>
      </c>
    </row>
    <row r="14" ht="78" customHeight="1">
      <c r="A14" s="2" t="inlineStr">
        <is>
          <t>CC-013</t>
        </is>
      </c>
      <c r="B14" s="2" t="inlineStr">
        <is>
          <t>USA</t>
        </is>
      </c>
      <c r="C14" s="2" t="inlineStr">
        <is>
          <t>NJ CSIT Clean Tech R&amp;D Voucher</t>
        </is>
      </c>
      <c r="D14" s="2" t="inlineStr">
        <is>
          <t>Eligibility gate first</t>
        </is>
      </c>
      <c r="E14" s="2" t="inlineStr">
        <is>
          <t>Senthil + Dr. Vijendran (proposed)</t>
        </is>
      </c>
      <c r="F14" s="2" t="inlineStr">
        <is>
          <t>Not contacted</t>
        </is>
      </c>
      <c r="G14" s="4" t="n"/>
      <c r="H14" s="4">
        <f>IF(G14="","",G14+5)</f>
        <v/>
      </c>
      <c r="I14" s="4">
        <f>IF(G14="","",G14+12)</f>
        <v/>
      </c>
      <c r="J14" s="4" t="n"/>
      <c r="K14" s="2" t="inlineStr">
        <is>
          <t>Seek written eligibility screening before preparing application.</t>
        </is>
      </c>
      <c r="L14" s="2" t="inlineStr"/>
      <c r="M14" s="2" t="inlineStr"/>
      <c r="N14" s="2" t="inlineStr"/>
      <c r="O14" s="3" t="inlineStr">
        <is>
          <t>https://www.njcsit.gov/clean-tech-research-and-development-rd-voucher-program-round-3/</t>
        </is>
      </c>
    </row>
    <row r="15" ht="78" customHeight="1">
      <c r="A15" s="2" t="inlineStr">
        <is>
          <t>CC-014</t>
        </is>
      </c>
      <c r="B15" s="2" t="inlineStr">
        <is>
          <t>USA</t>
        </is>
      </c>
      <c r="C15" s="2" t="inlineStr">
        <is>
          <t>NJ CSIT Clean Tech Seed Grant</t>
        </is>
      </c>
      <c r="D15" s="2" t="inlineStr">
        <is>
          <t>Watch next intake</t>
        </is>
      </c>
      <c r="E15" s="2" t="inlineStr">
        <is>
          <t>Senthil + Dr. Vijendran (proposed)</t>
        </is>
      </c>
      <c r="F15" s="2" t="inlineStr">
        <is>
          <t>Not contacted</t>
        </is>
      </c>
      <c r="G15" s="4" t="n"/>
      <c r="H15" s="4">
        <f>IF(G15="","",G15+5)</f>
        <v/>
      </c>
      <c r="I15" s="4">
        <f>IF(G15="","",G15+12)</f>
        <v/>
      </c>
      <c r="J15" s="4" t="n"/>
      <c r="K15" s="2" t="inlineStr">
        <is>
          <t>Ask next round timing and NJ operating requirements; do not treat as open.</t>
        </is>
      </c>
      <c r="L15" s="2" t="inlineStr"/>
      <c r="M15" s="2" t="inlineStr"/>
      <c r="N15" s="2" t="inlineStr"/>
      <c r="O15" s="3" t="inlineStr">
        <is>
          <t>https://www.njeda.gov/wp-content/uploads/2025/06/NJEDA-Clean-Energy-Newsletter-Q2-2025.pdf</t>
        </is>
      </c>
    </row>
    <row r="16" ht="78" customHeight="1">
      <c r="A16" s="2" t="inlineStr">
        <is>
          <t>CC-015</t>
        </is>
      </c>
      <c r="B16" s="2" t="inlineStr">
        <is>
          <t>USA</t>
        </is>
      </c>
      <c r="C16" s="2" t="inlineStr">
        <is>
          <t>NSF America's Seed Fund</t>
        </is>
      </c>
      <c r="D16" s="2" t="inlineStr">
        <is>
          <t>Eligibility gate first</t>
        </is>
      </c>
      <c r="E16" s="2" t="inlineStr">
        <is>
          <t>Senthil + Dr. Vijendran (proposed)</t>
        </is>
      </c>
      <c r="F16" s="2" t="inlineStr">
        <is>
          <t>Not contacted</t>
        </is>
      </c>
      <c r="G16" s="4" t="n"/>
      <c r="H16" s="4">
        <f>IF(G16="","",G16+5)</f>
        <v/>
      </c>
      <c r="I16" s="4">
        <f>IF(G16="","",G16+12)</f>
        <v/>
      </c>
      <c r="J16" s="4" t="n"/>
      <c r="K16" s="2" t="inlineStr">
        <is>
          <t>Screen cap table, US R&amp;D and technical novelty before any Project Pitch.</t>
        </is>
      </c>
      <c r="L16" s="2" t="inlineStr"/>
      <c r="M16" s="2" t="inlineStr"/>
      <c r="N16" s="2" t="inlineStr"/>
      <c r="O16" s="3" t="inlineStr">
        <is>
          <t>https://seedfund.nsf.gov/solicitation-eligibility/</t>
        </is>
      </c>
    </row>
    <row r="17" ht="78" customHeight="1">
      <c r="A17" s="2" t="inlineStr">
        <is>
          <t>CC-016</t>
        </is>
      </c>
      <c r="B17" s="2" t="inlineStr">
        <is>
          <t>USA</t>
        </is>
      </c>
      <c r="C17" s="2" t="inlineStr">
        <is>
          <t>DOE SBIR / STTR</t>
        </is>
      </c>
      <c r="D17" s="2" t="inlineStr">
        <is>
          <t>Eligibility gate first</t>
        </is>
      </c>
      <c r="E17" s="2" t="inlineStr">
        <is>
          <t>Senthil + Dr. Vijendran (proposed)</t>
        </is>
      </c>
      <c r="F17" s="2" t="inlineStr">
        <is>
          <t>Not contacted</t>
        </is>
      </c>
      <c r="G17" s="4" t="n"/>
      <c r="H17" s="4">
        <f>IF(G17="","",G17+5)</f>
        <v/>
      </c>
      <c r="I17" s="4">
        <f>IF(G17="","",G17+12)</f>
        <v/>
      </c>
      <c r="J17" s="4" t="n"/>
      <c r="K17" s="2" t="inlineStr">
        <is>
          <t>Request topic-fit guidance for conservation AIoT; resolve ownership and domestic work first.</t>
        </is>
      </c>
      <c r="L17" s="2" t="inlineStr"/>
      <c r="M17" s="2" t="inlineStr"/>
      <c r="N17" s="2" t="inlineStr"/>
      <c r="O17" s="3" t="inlineStr">
        <is>
          <t>https://www.energy.gov/technologycommercialization/doe-small-business-innovation-research-sbir-and-small-business</t>
        </is>
      </c>
    </row>
    <row r="18" ht="78" customHeight="1">
      <c r="A18" s="2" t="inlineStr">
        <is>
          <t>CC-017</t>
        </is>
      </c>
      <c r="B18" s="2" t="inlineStr">
        <is>
          <t>USA</t>
        </is>
      </c>
      <c r="C18" s="2" t="inlineStr">
        <is>
          <t>Amazon Sustainability Accelerator Climate Tech</t>
        </is>
      </c>
      <c r="D18" s="2" t="inlineStr">
        <is>
          <t>Watch next intake</t>
        </is>
      </c>
      <c r="E18" s="2" t="inlineStr">
        <is>
          <t>Senthil + Dr. Vijendran (proposed)</t>
        </is>
      </c>
      <c r="F18" s="2" t="inlineStr">
        <is>
          <t>Not contacted</t>
        </is>
      </c>
      <c r="G18" s="4" t="n"/>
      <c r="H18" s="4">
        <f>IF(G18="","",G18+5)</f>
        <v/>
      </c>
      <c r="I18" s="4">
        <f>IF(G18="","",G18+12)</f>
        <v/>
      </c>
      <c r="J18" s="4" t="n"/>
      <c r="K18" s="2" t="inlineStr">
        <is>
          <t>Monitor next cycle; ask geographic eligibility. Do not book this as AWS grant revenue.</t>
        </is>
      </c>
      <c r="L18" s="2" t="inlineStr"/>
      <c r="M18" s="2" t="inlineStr"/>
      <c r="N18" s="2" t="inlineStr"/>
      <c r="O18" s="3" t="inlineStr">
        <is>
          <t>https://www.aboutamazon.eu/news/sustainability/sustainability-accelerator-climate-tech-programme-2026</t>
        </is>
      </c>
    </row>
    <row r="19" ht="78" customHeight="1">
      <c r="A19" s="2" t="inlineStr">
        <is>
          <t>CC-018</t>
        </is>
      </c>
      <c r="B19" s="2" t="inlineStr">
        <is>
          <t>USA</t>
        </is>
      </c>
      <c r="C19" s="2" t="inlineStr">
        <is>
          <t>Vista Equity Partners</t>
        </is>
      </c>
      <c r="D19" s="2" t="inlineStr">
        <is>
          <t>Later / portfolio route</t>
        </is>
      </c>
      <c r="E19" s="2" t="inlineStr">
        <is>
          <t>Senthil + Dr. Vijendran (proposed)</t>
        </is>
      </c>
      <c r="F19" s="2" t="inlineStr">
        <is>
          <t>Not contacted</t>
        </is>
      </c>
      <c r="G19" s="4" t="n"/>
      <c r="H19" s="4">
        <f>IF(G19="","",G19+5)</f>
        <v/>
      </c>
      <c r="I19" s="4">
        <f>IF(G19="","",G19+12)</f>
        <v/>
      </c>
      <c r="J19" s="4" t="n"/>
      <c r="K19" s="2" t="inlineStr">
        <is>
          <t>Defer direct raise; seek portfolio-company pilot or integration introduction.</t>
        </is>
      </c>
      <c r="L19" s="2" t="inlineStr"/>
      <c r="M19" s="2" t="inlineStr"/>
      <c r="N19" s="2" t="inlineStr"/>
      <c r="O19" s="3" t="inlineStr">
        <is>
          <t>https://www.vistaequitypartners.com/private-equity/</t>
        </is>
      </c>
    </row>
    <row r="20" ht="78" customHeight="1">
      <c r="A20" s="2" t="inlineStr">
        <is>
          <t>CC-019</t>
        </is>
      </c>
      <c r="B20" s="2" t="inlineStr">
        <is>
          <t>UAE</t>
        </is>
      </c>
      <c r="C20" s="2" t="inlineStr">
        <is>
          <t>MBRIF Innovation Accelerator</t>
        </is>
      </c>
      <c r="D20" s="2" t="inlineStr">
        <is>
          <t>Contact now</t>
        </is>
      </c>
      <c r="E20" s="2" t="inlineStr">
        <is>
          <t>Senthil + Dr. Vijendran (proposed)</t>
        </is>
      </c>
      <c r="F20" s="2" t="inlineStr">
        <is>
          <t>Not contacted</t>
        </is>
      </c>
      <c r="G20" s="4" t="n"/>
      <c r="H20" s="4">
        <f>IF(G20="","",G20+5)</f>
        <v/>
      </c>
      <c r="I20" s="4">
        <f>IF(G20="","",G20+12)</f>
        <v/>
      </c>
      <c r="J20" s="4" t="n"/>
      <c r="K20" s="2" t="inlineStr">
        <is>
          <t>Ask current intake and energy/water pilot support using YesTechnik UAE entry plan.</t>
        </is>
      </c>
      <c r="L20" s="2" t="inlineStr"/>
      <c r="M20" s="2" t="inlineStr"/>
      <c r="N20" s="2" t="inlineStr"/>
      <c r="O20" s="3" t="inlineStr">
        <is>
          <t>https://mbrif.ae/faq-2/</t>
        </is>
      </c>
    </row>
    <row r="21" ht="78" customHeight="1">
      <c r="A21" s="2" t="inlineStr">
        <is>
          <t>CC-020</t>
        </is>
      </c>
      <c r="B21" s="2" t="inlineStr">
        <is>
          <t>UAE</t>
        </is>
      </c>
      <c r="C21" s="2" t="inlineStr">
        <is>
          <t>Emirates Green Building Council</t>
        </is>
      </c>
      <c r="D21" s="2" t="inlineStr">
        <is>
          <t>Contact now</t>
        </is>
      </c>
      <c r="E21" s="2" t="inlineStr">
        <is>
          <t>Senthil + Balaji + Surya (proposed)</t>
        </is>
      </c>
      <c r="F21" s="2" t="inlineStr">
        <is>
          <t>Not contacted</t>
        </is>
      </c>
      <c r="G21" s="4" t="n"/>
      <c r="H21" s="4">
        <f>IF(G21="","",G21+5)</f>
        <v/>
      </c>
      <c r="I21" s="4">
        <f>IF(G21="","",G21+12)</f>
        <v/>
      </c>
      <c r="J21" s="4" t="n"/>
      <c r="K21" s="2" t="inlineStr">
        <is>
          <t>Request hotel/building owner introductions for measured energy, comfort and AQ pilot.</t>
        </is>
      </c>
      <c r="L21" s="2" t="inlineStr"/>
      <c r="M21" s="2" t="inlineStr"/>
      <c r="N21" s="2" t="inlineStr"/>
      <c r="O21" s="3" t="inlineStr">
        <is>
          <t>https://emiratesgbc.org/energy-efficiency-program/</t>
        </is>
      </c>
    </row>
    <row r="22" ht="78" customHeight="1">
      <c r="A22" s="2" t="inlineStr">
        <is>
          <t>CC-021</t>
        </is>
      </c>
      <c r="B22" s="2" t="inlineStr">
        <is>
          <t>UAE</t>
        </is>
      </c>
      <c r="C22" s="2" t="inlineStr">
        <is>
          <t>NYU Abu Dhabi / startAD</t>
        </is>
      </c>
      <c r="D22" s="2" t="inlineStr">
        <is>
          <t>Contact now</t>
        </is>
      </c>
      <c r="E22" s="2" t="inlineStr">
        <is>
          <t>Dr. Vijendran + Kumar (proposed)</t>
        </is>
      </c>
      <c r="F22" s="2" t="inlineStr">
        <is>
          <t>Not contacted</t>
        </is>
      </c>
      <c r="G22" s="4" t="n"/>
      <c r="H22" s="4">
        <f>IF(G22="","",G22+5)</f>
        <v/>
      </c>
      <c r="I22" s="4">
        <f>IF(G22="","",G22+12)</f>
        <v/>
      </c>
      <c r="J22" s="4" t="n"/>
      <c r="K22" s="2" t="inlineStr">
        <is>
          <t>Request next relevant corporate sprint and university-supported validation route.</t>
        </is>
      </c>
      <c r="L22" s="2" t="inlineStr"/>
      <c r="M22" s="2" t="inlineStr"/>
      <c r="N22" s="2" t="inlineStr"/>
      <c r="O22" s="3" t="inlineStr">
        <is>
          <t>https://startad.ae/programs/</t>
        </is>
      </c>
    </row>
    <row r="23" ht="78" customHeight="1">
      <c r="A23" s="2" t="inlineStr">
        <is>
          <t>CC-022</t>
        </is>
      </c>
      <c r="B23" s="2" t="inlineStr">
        <is>
          <t>UAE</t>
        </is>
      </c>
      <c r="C23" s="2" t="inlineStr">
        <is>
          <t>Hub71 Access</t>
        </is>
      </c>
      <c r="D23" s="2" t="inlineStr">
        <is>
          <t>Contact now</t>
        </is>
      </c>
      <c r="E23" s="2" t="inlineStr">
        <is>
          <t>Senthil + Dr. Vijendran (proposed)</t>
        </is>
      </c>
      <c r="F23" s="2" t="inlineStr">
        <is>
          <t>Not contacted</t>
        </is>
      </c>
      <c r="G23" s="4" t="n"/>
      <c r="H23" s="4">
        <f>IF(G23="","",G23+5)</f>
        <v/>
      </c>
      <c r="I23" s="4">
        <f>IF(G23="","",G23+12)</f>
        <v/>
      </c>
      <c r="J23" s="4" t="n"/>
      <c r="K23" s="2" t="inlineStr">
        <is>
          <t>Request pre-revenue eligibility screening with MVP demo and Abu Dhabi pilot roadmap.</t>
        </is>
      </c>
      <c r="L23" s="2" t="inlineStr"/>
      <c r="M23" s="2" t="inlineStr"/>
      <c r="N23" s="2" t="inlineStr"/>
      <c r="O23" s="3" t="inlineStr">
        <is>
          <t>https://www.hub71.com/program/access-programme/apply</t>
        </is>
      </c>
    </row>
    <row r="24" ht="78" customHeight="1">
      <c r="A24" s="2" t="inlineStr">
        <is>
          <t>CC-023</t>
        </is>
      </c>
      <c r="B24" s="2" t="inlineStr">
        <is>
          <t>UAE</t>
        </is>
      </c>
      <c r="C24" s="2" t="inlineStr">
        <is>
          <t>Shorooq venture capital</t>
        </is>
      </c>
      <c r="D24" s="2" t="inlineStr">
        <is>
          <t>Contact now</t>
        </is>
      </c>
      <c r="E24" s="2" t="inlineStr">
        <is>
          <t>Senthil + Dr. Vijendran (proposed)</t>
        </is>
      </c>
      <c r="F24" s="2" t="inlineStr">
        <is>
          <t>Not contacted</t>
        </is>
      </c>
      <c r="G24" s="4" t="n"/>
      <c r="H24" s="4">
        <f>IF(G24="","",G24+5)</f>
        <v/>
      </c>
      <c r="I24" s="4">
        <f>IF(G24="","",G24+12)</f>
        <v/>
      </c>
      <c r="J24" s="4" t="n"/>
      <c r="K24" s="2" t="inlineStr">
        <is>
          <t>Request pre-seed review for CK/ESG with UAE hotel and industrial deployment wedge.</t>
        </is>
      </c>
      <c r="L24" s="2" t="inlineStr"/>
      <c r="M24" s="2" t="inlineStr"/>
      <c r="N24" s="2" t="inlineStr"/>
      <c r="O24" s="3" t="inlineStr">
        <is>
          <t>https://www.shorooq.com/what-we-do/equity-venture-capital</t>
        </is>
      </c>
    </row>
    <row r="25" ht="78" customHeight="1">
      <c r="A25" s="2" t="inlineStr">
        <is>
          <t>CC-024</t>
        </is>
      </c>
      <c r="B25" s="2" t="inlineStr">
        <is>
          <t>UAE</t>
        </is>
      </c>
      <c r="C25" s="2" t="inlineStr">
        <is>
          <t>Dubai Future Accelerators</t>
        </is>
      </c>
      <c r="D25" s="2" t="inlineStr">
        <is>
          <t>Contact now</t>
        </is>
      </c>
      <c r="E25" s="2" t="inlineStr">
        <is>
          <t>Senthil + Dr. Vijendran (proposed)</t>
        </is>
      </c>
      <c r="F25" s="2" t="inlineStr">
        <is>
          <t>Not contacted</t>
        </is>
      </c>
      <c r="G25" s="4" t="n"/>
      <c r="H25" s="4">
        <f>IF(G25="","",G25+5)</f>
        <v/>
      </c>
      <c r="I25" s="4">
        <f>IF(G25="","",G25+12)</f>
        <v/>
      </c>
      <c r="J25" s="4" t="n"/>
      <c r="K25" s="2" t="inlineStr">
        <is>
          <t>Ask for current energy/water/health facility challenges and pilot submission route.</t>
        </is>
      </c>
      <c r="L25" s="2" t="inlineStr"/>
      <c r="M25" s="2" t="inlineStr"/>
      <c r="N25" s="2" t="inlineStr"/>
      <c r="O25" s="3" t="inlineStr">
        <is>
          <t>https://www.dubaifuture.ae/initiatives/future-design-and-acceleration/dubai-future-accelerators/</t>
        </is>
      </c>
    </row>
    <row r="26" ht="78" customHeight="1">
      <c r="A26" s="2" t="inlineStr">
        <is>
          <t>CC-025</t>
        </is>
      </c>
      <c r="B26" s="2" t="inlineStr">
        <is>
          <t>UAE</t>
        </is>
      </c>
      <c r="C26" s="2" t="inlineStr">
        <is>
          <t>Etihad ESCO</t>
        </is>
      </c>
      <c r="D26" s="2" t="inlineStr">
        <is>
          <t>Contact now</t>
        </is>
      </c>
      <c r="E26" s="2" t="inlineStr">
        <is>
          <t>Senthil + Balaji + Surya (proposed)</t>
        </is>
      </c>
      <c r="F26" s="2" t="inlineStr">
        <is>
          <t>Not contacted</t>
        </is>
      </c>
      <c r="G26" s="4" t="n"/>
      <c r="H26" s="4">
        <f>IF(G26="","",G26+5)</f>
        <v/>
      </c>
      <c r="I26" s="4">
        <f>IF(G26="","",G26+12)</f>
        <v/>
      </c>
      <c r="J26" s="4" t="n"/>
      <c r="K26" s="2" t="inlineStr">
        <is>
          <t>Propose CK energy anomaly and monitoring package as an ESCO integration pilot.</t>
        </is>
      </c>
      <c r="L26" s="2" t="inlineStr"/>
      <c r="M26" s="2" t="inlineStr"/>
      <c r="N26" s="2" t="inlineStr"/>
      <c r="O26" s="3" t="inlineStr">
        <is>
          <t>https://etihadesco.ae/</t>
        </is>
      </c>
    </row>
    <row r="27" ht="78" customHeight="1">
      <c r="A27" s="2" t="inlineStr">
        <is>
          <t>CC-026</t>
        </is>
      </c>
      <c r="B27" s="2" t="inlineStr">
        <is>
          <t>UAE</t>
        </is>
      </c>
      <c r="C27" s="2" t="inlineStr">
        <is>
          <t>Khalifa University</t>
        </is>
      </c>
      <c r="D27" s="2" t="inlineStr">
        <is>
          <t>Contact now</t>
        </is>
      </c>
      <c r="E27" s="2" t="inlineStr">
        <is>
          <t>Dr. Vijendran + Kumar (proposed)</t>
        </is>
      </c>
      <c r="F27" s="2" t="inlineStr">
        <is>
          <t>Not contacted</t>
        </is>
      </c>
      <c r="G27" s="4" t="n"/>
      <c r="H27" s="4">
        <f>IF(G27="","",G27+5)</f>
        <v/>
      </c>
      <c r="I27" s="4">
        <f>IF(G27="","",G27+12)</f>
        <v/>
      </c>
      <c r="J27" s="4" t="n"/>
      <c r="K27" s="2" t="inlineStr">
        <is>
          <t>Request applied energy/AQ sensor and industrial PdM research collaboration.</t>
        </is>
      </c>
      <c r="L27" s="2" t="inlineStr"/>
      <c r="M27" s="2" t="inlineStr"/>
      <c r="N27" s="2" t="inlineStr"/>
      <c r="O27" s="3" t="inlineStr">
        <is>
          <t>https://www.ku.ac.ae/research/research-administration/</t>
        </is>
      </c>
    </row>
    <row r="28" ht="78" customHeight="1">
      <c r="A28" s="2" t="inlineStr">
        <is>
          <t>CC-027</t>
        </is>
      </c>
      <c r="B28" s="2" t="inlineStr">
        <is>
          <t>UAE</t>
        </is>
      </c>
      <c r="C28" s="2" t="inlineStr">
        <is>
          <t>Dtec SANDBOX</t>
        </is>
      </c>
      <c r="D28" s="2" t="inlineStr">
        <is>
          <t>Contact now</t>
        </is>
      </c>
      <c r="E28" s="2" t="inlineStr">
        <is>
          <t>Senthil + Dr. Vijendran (proposed)</t>
        </is>
      </c>
      <c r="F28" s="2" t="inlineStr">
        <is>
          <t>Not contacted</t>
        </is>
      </c>
      <c r="G28" s="4" t="n"/>
      <c r="H28" s="4">
        <f>IF(G28="","",G28+5)</f>
        <v/>
      </c>
      <c r="I28" s="4">
        <f>IF(G28="","",G28+12)</f>
        <v/>
      </c>
      <c r="J28" s="4" t="n"/>
      <c r="K28" s="2" t="inlineStr">
        <is>
          <t>Ask current terms and fit for pre-revenue US company with UAE partner pipeline.</t>
        </is>
      </c>
      <c r="L28" s="2" t="inlineStr"/>
      <c r="M28" s="2" t="inlineStr"/>
      <c r="N28" s="2" t="inlineStr"/>
      <c r="O28" s="3" t="inlineStr">
        <is>
          <t>https://dtec.ae/programs/</t>
        </is>
      </c>
    </row>
    <row r="29" ht="78" customHeight="1">
      <c r="A29" s="2" t="inlineStr">
        <is>
          <t>CC-028</t>
        </is>
      </c>
      <c r="B29" s="2" t="inlineStr">
        <is>
          <t>UAE</t>
        </is>
      </c>
      <c r="C29" s="2" t="inlineStr">
        <is>
          <t>MBZUAI Incubation &amp; Entrepreneurship Center</t>
        </is>
      </c>
      <c r="D29" s="2" t="inlineStr">
        <is>
          <t>Contact now</t>
        </is>
      </c>
      <c r="E29" s="2" t="inlineStr">
        <is>
          <t>Dr. Vijendran + Kumar (proposed)</t>
        </is>
      </c>
      <c r="F29" s="2" t="inlineStr">
        <is>
          <t>Not contacted</t>
        </is>
      </c>
      <c r="G29" s="4" t="n"/>
      <c r="H29" s="4">
        <f>IF(G29="","",G29+5)</f>
        <v/>
      </c>
      <c r="I29" s="4">
        <f>IF(G29="","",G29+12)</f>
        <v/>
      </c>
      <c r="J29" s="4" t="n"/>
      <c r="K29" s="2" t="inlineStr">
        <is>
          <t>Request Demo Day participation and research collaboration, not an unaffiliated grant.</t>
        </is>
      </c>
      <c r="L29" s="2" t="inlineStr"/>
      <c r="M29" s="2" t="inlineStr"/>
      <c r="N29" s="2" t="inlineStr"/>
      <c r="O29" s="3" t="inlineStr">
        <is>
          <t>https://mbzuai.ac.ae/innovation-partnerships/incubation-entrepreneurship-center</t>
        </is>
      </c>
    </row>
    <row r="30" ht="78" customHeight="1">
      <c r="A30" s="2" t="inlineStr">
        <is>
          <t>CC-029</t>
        </is>
      </c>
      <c r="B30" s="2" t="inlineStr">
        <is>
          <t>UAE</t>
        </is>
      </c>
      <c r="C30" s="2" t="inlineStr">
        <is>
          <t>Wamda Capital</t>
        </is>
      </c>
      <c r="D30" s="2" t="inlineStr">
        <is>
          <t>Conditional screen</t>
        </is>
      </c>
      <c r="E30" s="2" t="inlineStr">
        <is>
          <t>Senthil + Dr. Vijendran (proposed)</t>
        </is>
      </c>
      <c r="F30" s="2" t="inlineStr">
        <is>
          <t>Not contacted</t>
        </is>
      </c>
      <c r="G30" s="4" t="n"/>
      <c r="H30" s="4">
        <f>IF(G30="","",G30+5)</f>
        <v/>
      </c>
      <c r="I30" s="4">
        <f>IF(G30="","",G30+12)</f>
        <v/>
      </c>
      <c r="J30" s="4" t="n"/>
      <c r="K30" s="2" t="inlineStr">
        <is>
          <t>Send brief stage-fit inquiry for UAE hospitality AIoT; seek partner referral.</t>
        </is>
      </c>
      <c r="L30" s="2" t="inlineStr"/>
      <c r="M30" s="2" t="inlineStr"/>
      <c r="N30" s="2" t="inlineStr"/>
      <c r="O30" s="3" t="inlineStr">
        <is>
          <t>https://www.wamda.com/about</t>
        </is>
      </c>
    </row>
    <row r="31" ht="78" customHeight="1">
      <c r="A31" s="2" t="inlineStr">
        <is>
          <t>CC-030</t>
        </is>
      </c>
      <c r="B31" s="2" t="inlineStr">
        <is>
          <t>UAE</t>
        </is>
      </c>
      <c r="C31" s="2" t="inlineStr">
        <is>
          <t>Gulf Capital</t>
        </is>
      </c>
      <c r="D31" s="2" t="inlineStr">
        <is>
          <t>Later / portfolio route</t>
        </is>
      </c>
      <c r="E31" s="2" t="inlineStr">
        <is>
          <t>Senthil + Dr. Vijendran (proposed)</t>
        </is>
      </c>
      <c r="F31" s="2" t="inlineStr">
        <is>
          <t>Not contacted</t>
        </is>
      </c>
      <c r="G31" s="4" t="n"/>
      <c r="H31" s="4">
        <f>IF(G31="","",G31+5)</f>
        <v/>
      </c>
      <c r="I31" s="4">
        <f>IF(G31="","",G31+12)</f>
        <v/>
      </c>
      <c r="J31" s="4" t="n"/>
      <c r="K31" s="2" t="inlineStr">
        <is>
          <t>Seek portfolio pilot introduction after local proof; defer primary raise.</t>
        </is>
      </c>
      <c r="L31" s="2" t="inlineStr"/>
      <c r="M31" s="2" t="inlineStr"/>
      <c r="N31" s="2" t="inlineStr"/>
      <c r="O31" s="3" t="inlineStr">
        <is>
          <t>https://www.gulfcapital.com/the-firm</t>
        </is>
      </c>
    </row>
    <row r="32" ht="78" customHeight="1">
      <c r="A32" s="2" t="inlineStr">
        <is>
          <t>CC-031</t>
        </is>
      </c>
      <c r="B32" s="2" t="inlineStr">
        <is>
          <t>Singapore</t>
        </is>
      </c>
      <c r="C32" s="2" t="inlineStr">
        <is>
          <t>NTU Energy Research Institute (ERI@N)</t>
        </is>
      </c>
      <c r="D32" s="2" t="inlineStr">
        <is>
          <t>Contact now</t>
        </is>
      </c>
      <c r="E32" s="2" t="inlineStr">
        <is>
          <t>Dr. Vijendran + Kumar (proposed)</t>
        </is>
      </c>
      <c r="F32" s="2" t="inlineStr">
        <is>
          <t>Not contacted</t>
        </is>
      </c>
      <c r="G32" s="4" t="n"/>
      <c r="H32" s="4">
        <f>IF(G32="","",G32+5)</f>
        <v/>
      </c>
      <c r="I32" s="4">
        <f>IF(G32="","",G32+12)</f>
        <v/>
      </c>
      <c r="J32" s="4" t="n"/>
      <c r="K32" s="2" t="inlineStr">
        <is>
          <t>Request measured energy optimization validation and joint GBIC scoping.</t>
        </is>
      </c>
      <c r="L32" s="2" t="inlineStr"/>
      <c r="M32" s="2" t="inlineStr"/>
      <c r="N32" s="2" t="inlineStr"/>
      <c r="O32" s="3" t="inlineStr">
        <is>
          <t>https://www.ntu.edu.sg/erian/industry-partners</t>
        </is>
      </c>
    </row>
    <row r="33" ht="78" customHeight="1">
      <c r="A33" s="2" t="inlineStr">
        <is>
          <t>CC-032</t>
        </is>
      </c>
      <c r="B33" s="2" t="inlineStr">
        <is>
          <t>Singapore</t>
        </is>
      </c>
      <c r="C33" s="2" t="inlineStr">
        <is>
          <t>A*STAR ARTC</t>
        </is>
      </c>
      <c r="D33" s="2" t="inlineStr">
        <is>
          <t>Contact now</t>
        </is>
      </c>
      <c r="E33" s="2" t="inlineStr">
        <is>
          <t>Senthil + Balaji + Surya (proposed)</t>
        </is>
      </c>
      <c r="F33" s="2" t="inlineStr">
        <is>
          <t>Not contacted</t>
        </is>
      </c>
      <c r="G33" s="4" t="n"/>
      <c r="H33" s="4">
        <f>IF(G33="","",G33+5)</f>
        <v/>
      </c>
      <c r="I33" s="4">
        <f>IF(G33="","",G33+12)</f>
        <v/>
      </c>
      <c r="J33" s="4" t="n"/>
      <c r="K33" s="2" t="inlineStr">
        <is>
          <t>Request startup-tier access and a PdM/OEE demonstrator with manufacturing member.</t>
        </is>
      </c>
      <c r="L33" s="2" t="inlineStr"/>
      <c r="M33" s="2" t="inlineStr"/>
      <c r="N33" s="2" t="inlineStr"/>
      <c r="O33" s="3" t="inlineStr">
        <is>
          <t>https://www.a-star.edu.sg/artc/</t>
        </is>
      </c>
    </row>
    <row r="34" ht="78" customHeight="1">
      <c r="A34" s="2" t="inlineStr">
        <is>
          <t>CC-033</t>
        </is>
      </c>
      <c r="B34" s="2" t="inlineStr">
        <is>
          <t>Singapore</t>
        </is>
      </c>
      <c r="C34" s="2" t="inlineStr">
        <is>
          <t>Wavemaker Ventures</t>
        </is>
      </c>
      <c r="D34" s="2" t="inlineStr">
        <is>
          <t>Contact now</t>
        </is>
      </c>
      <c r="E34" s="2" t="inlineStr">
        <is>
          <t>Senthil + Dr. Vijendran (proposed)</t>
        </is>
      </c>
      <c r="F34" s="2" t="inlineStr">
        <is>
          <t>Not contacted</t>
        </is>
      </c>
      <c r="G34" s="4" t="n"/>
      <c r="H34" s="4">
        <f>IF(G34="","",G34+5)</f>
        <v/>
      </c>
      <c r="I34" s="4">
        <f>IF(G34="","",G34+12)</f>
        <v/>
      </c>
      <c r="J34" s="4" t="n"/>
      <c r="K34" s="2" t="inlineStr">
        <is>
          <t>Use Dr. Vijendran network where available for CK/ESG first-institutional-round introduction.</t>
        </is>
      </c>
      <c r="L34" s="2" t="inlineStr"/>
      <c r="M34" s="2" t="inlineStr"/>
      <c r="N34" s="2" t="inlineStr"/>
      <c r="O34" s="3" t="inlineStr">
        <is>
          <t>https://wavemaker.vc/our-investment-thesis/</t>
        </is>
      </c>
    </row>
    <row r="35" ht="78" customHeight="1">
      <c r="A35" s="2" t="inlineStr">
        <is>
          <t>CC-034</t>
        </is>
      </c>
      <c r="B35" s="2" t="inlineStr">
        <is>
          <t>Singapore</t>
        </is>
      </c>
      <c r="C35" s="2" t="inlineStr">
        <is>
          <t>BCA Green Buildings Innovation Cluster</t>
        </is>
      </c>
      <c r="D35" s="2" t="inlineStr">
        <is>
          <t>Contact now</t>
        </is>
      </c>
      <c r="E35" s="2" t="inlineStr">
        <is>
          <t>Senthil + Dr. Vijendran (proposed)</t>
        </is>
      </c>
      <c r="F35" s="2" t="inlineStr">
        <is>
          <t>Not contacted</t>
        </is>
      </c>
      <c r="G35" s="4" t="n"/>
      <c r="H35" s="4">
        <f>IF(G35="","",G35+5)</f>
        <v/>
      </c>
      <c r="I35" s="4">
        <f>IF(G35="","",G35+12)</f>
        <v/>
      </c>
      <c r="J35" s="4" t="n"/>
      <c r="K35" s="2" t="inlineStr">
        <is>
          <t>Request scoping call with NTU/SUTD plus building owner for CK controls/AQ pilot.</t>
        </is>
      </c>
      <c r="L35" s="2" t="inlineStr"/>
      <c r="M35" s="2" t="inlineStr"/>
      <c r="N35" s="2" t="inlineStr"/>
      <c r="O35" s="3" t="inlineStr">
        <is>
          <t>https://www1.bca.gov.sg/sustainability/green-buildings-innovation-cluster-gbic-programme/</t>
        </is>
      </c>
    </row>
    <row r="36" ht="78" customHeight="1">
      <c r="A36" s="2" t="inlineStr">
        <is>
          <t>CC-035</t>
        </is>
      </c>
      <c r="B36" s="2" t="inlineStr">
        <is>
          <t>Singapore</t>
        </is>
      </c>
      <c r="C36" s="2" t="inlineStr">
        <is>
          <t>SUTD industry collaborations</t>
        </is>
      </c>
      <c r="D36" s="2" t="inlineStr">
        <is>
          <t>Contact now</t>
        </is>
      </c>
      <c r="E36" s="2" t="inlineStr">
        <is>
          <t>Dr. Vijendran + Kumar (proposed)</t>
        </is>
      </c>
      <c r="F36" s="2" t="inlineStr">
        <is>
          <t>Not contacted</t>
        </is>
      </c>
      <c r="G36" s="4" t="n"/>
      <c r="H36" s="4">
        <f>IF(G36="","",G36+5)</f>
        <v/>
      </c>
      <c r="I36" s="4">
        <f>IF(G36="","",G36+12)</f>
        <v/>
      </c>
      <c r="J36" s="4" t="n"/>
      <c r="K36" s="2" t="inlineStr">
        <is>
          <t>Request sensor-to-digital-twin research/capstone brief for a building pilot.</t>
        </is>
      </c>
      <c r="L36" s="2" t="inlineStr"/>
      <c r="M36" s="2" t="inlineStr"/>
      <c r="N36" s="2" t="inlineStr"/>
      <c r="O36" s="3" t="inlineStr">
        <is>
          <t>https://www.sutd.edu.sg/about/partnering-with-sutd/</t>
        </is>
      </c>
    </row>
    <row r="37" ht="78" customHeight="1">
      <c r="A37" s="2" t="inlineStr">
        <is>
          <t>CC-036</t>
        </is>
      </c>
      <c r="B37" s="2" t="inlineStr">
        <is>
          <t>Singapore</t>
        </is>
      </c>
      <c r="C37" s="2" t="inlineStr">
        <is>
          <t>NUS Research Concierge</t>
        </is>
      </c>
      <c r="D37" s="2" t="inlineStr">
        <is>
          <t>Contact now</t>
        </is>
      </c>
      <c r="E37" s="2" t="inlineStr">
        <is>
          <t>Dr. Vijendran + Kumar (proposed)</t>
        </is>
      </c>
      <c r="F37" s="2" t="inlineStr">
        <is>
          <t>Not contacted</t>
        </is>
      </c>
      <c r="G37" s="4" t="n"/>
      <c r="H37" s="4">
        <f>IF(G37="","",G37+5)</f>
        <v/>
      </c>
      <c r="I37" s="4">
        <f>IF(G37="","",G37+12)</f>
        <v/>
      </c>
      <c r="J37" s="4" t="n"/>
      <c r="K37" s="2" t="inlineStr">
        <is>
          <t>Ask routing to NERI/SERIS or smart-facility group for outcome validation.</t>
        </is>
      </c>
      <c r="L37" s="2" t="inlineStr"/>
      <c r="M37" s="2" t="inlineStr"/>
      <c r="N37" s="2" t="inlineStr"/>
      <c r="O37" s="3" t="inlineStr">
        <is>
          <t>https://nus.edu.sg/research/odprt-home/research-concierge</t>
        </is>
      </c>
    </row>
    <row r="38" ht="78" customHeight="1">
      <c r="A38" s="2" t="inlineStr">
        <is>
          <t>CC-037</t>
        </is>
      </c>
      <c r="B38" s="2" t="inlineStr">
        <is>
          <t>Singapore</t>
        </is>
      </c>
      <c r="C38" s="2" t="inlineStr">
        <is>
          <t>Singapore Green Building Council</t>
        </is>
      </c>
      <c r="D38" s="2" t="inlineStr">
        <is>
          <t>Contact now</t>
        </is>
      </c>
      <c r="E38" s="2" t="inlineStr">
        <is>
          <t>Senthil + Balaji + Surya (proposed)</t>
        </is>
      </c>
      <c r="F38" s="2" t="inlineStr">
        <is>
          <t>Not contacted</t>
        </is>
      </c>
      <c r="G38" s="4" t="n"/>
      <c r="H38" s="4">
        <f>IF(G38="","",G38+5)</f>
        <v/>
      </c>
      <c r="I38" s="4">
        <f>IF(G38="","",G38+12)</f>
        <v/>
      </c>
      <c r="J38" s="4" t="n"/>
      <c r="K38" s="2" t="inlineStr">
        <is>
          <t>Request pilot-owner/ESCO introductions and applicable monitoring-product pathways.</t>
        </is>
      </c>
      <c r="L38" s="2" t="inlineStr"/>
      <c r="M38" s="2" t="inlineStr"/>
      <c r="N38" s="2" t="inlineStr"/>
      <c r="O38" s="3" t="inlineStr">
        <is>
          <t>https://www.sgbc.sg/membership/about-sgbc-membership/</t>
        </is>
      </c>
    </row>
    <row r="39" ht="78" customHeight="1">
      <c r="A39" s="2" t="inlineStr">
        <is>
          <t>CC-038</t>
        </is>
      </c>
      <c r="B39" s="2" t="inlineStr">
        <is>
          <t>Singapore</t>
        </is>
      </c>
      <c r="C39" s="2" t="inlineStr">
        <is>
          <t>SGInnovate</t>
        </is>
      </c>
      <c r="D39" s="2" t="inlineStr">
        <is>
          <t>Contact now</t>
        </is>
      </c>
      <c r="E39" s="2" t="inlineStr">
        <is>
          <t>Senthil + Dr. Vijendran (proposed)</t>
        </is>
      </c>
      <c r="F39" s="2" t="inlineStr">
        <is>
          <t>Not contacted</t>
        </is>
      </c>
      <c r="G39" s="4" t="n"/>
      <c r="H39" s="4">
        <f>IF(G39="","",G39+5)</f>
        <v/>
      </c>
      <c r="I39" s="4">
        <f>IF(G39="","",G39+12)</f>
        <v/>
      </c>
      <c r="J39" s="4" t="n"/>
      <c r="K39" s="2" t="inlineStr">
        <is>
          <t>Request fit-screen for proprietary anomaly/PdM models and Singapore validation partner.</t>
        </is>
      </c>
      <c r="L39" s="2" t="inlineStr"/>
      <c r="M39" s="2" t="inlineStr"/>
      <c r="N39" s="2" t="inlineStr"/>
      <c r="O39" s="3" t="inlineStr">
        <is>
          <t>https://www.sginnovate.com/our-approach</t>
        </is>
      </c>
    </row>
    <row r="40" ht="78" customHeight="1">
      <c r="A40" s="2" t="inlineStr">
        <is>
          <t>CC-039</t>
        </is>
      </c>
      <c r="B40" s="2" t="inlineStr">
        <is>
          <t>Singapore</t>
        </is>
      </c>
      <c r="C40" s="2" t="inlineStr">
        <is>
          <t>SEEDS / Startup SG Equity</t>
        </is>
      </c>
      <c r="D40" s="2" t="inlineStr">
        <is>
          <t>Conditional screen</t>
        </is>
      </c>
      <c r="E40" s="2" t="inlineStr">
        <is>
          <t>Senthil + Dr. Vijendran (proposed)</t>
        </is>
      </c>
      <c r="F40" s="2" t="inlineStr">
        <is>
          <t>Not contacted</t>
        </is>
      </c>
      <c r="G40" s="4" t="n"/>
      <c r="H40" s="4">
        <f>IF(G40="","",G40+5)</f>
        <v/>
      </c>
      <c r="I40" s="4">
        <f>IF(G40="","",G40+12)</f>
        <v/>
      </c>
      <c r="J40" s="4" t="n"/>
      <c r="K40" s="2" t="inlineStr">
        <is>
          <t>Ask Wavemaker/SEEDS partner about local-entity and co-investment fit before applying.</t>
        </is>
      </c>
      <c r="L40" s="2" t="inlineStr"/>
      <c r="M40" s="2" t="inlineStr"/>
      <c r="N40" s="2" t="inlineStr"/>
      <c r="O40" s="3" t="inlineStr">
        <is>
          <t>https://www.seedscapital.sg/about-us/our-co-investment-model/</t>
        </is>
      </c>
    </row>
    <row r="41" ht="78" customHeight="1">
      <c r="A41" s="2" t="inlineStr">
        <is>
          <t>CC-040</t>
        </is>
      </c>
      <c r="B41" s="2" t="inlineStr">
        <is>
          <t>Singapore</t>
        </is>
      </c>
      <c r="C41" s="2" t="inlineStr">
        <is>
          <t>Startup SG Tech</t>
        </is>
      </c>
      <c r="D41" s="2" t="inlineStr">
        <is>
          <t>Eligibility gate first</t>
        </is>
      </c>
      <c r="E41" s="2" t="inlineStr">
        <is>
          <t>Senthil + Dr. Vijendran (proposed)</t>
        </is>
      </c>
      <c r="F41" s="2" t="inlineStr">
        <is>
          <t>Not contacted</t>
        </is>
      </c>
      <c r="G41" s="4" t="n"/>
      <c r="H41" s="4">
        <f>IF(G41="","",G41+5)</f>
        <v/>
      </c>
      <c r="I41" s="4">
        <f>IF(G41="","",G41+12)</f>
        <v/>
      </c>
      <c r="J41" s="4" t="n"/>
      <c r="K41" s="2" t="inlineStr">
        <is>
          <t>Request current eligibility guidance; no application until local equity/IP structure qualifies.</t>
        </is>
      </c>
      <c r="L41" s="2" t="inlineStr"/>
      <c r="M41" s="2" t="inlineStr"/>
      <c r="N41" s="2" t="inlineStr"/>
      <c r="O41" s="3" t="inlineStr">
        <is>
          <t>https://www.edb.gov.sg/en/business-insights/insights/partners-programmes-to-accelerate-your-startup-s-trajectory-in-singapore.html</t>
        </is>
      </c>
    </row>
    <row r="42" ht="78" customHeight="1">
      <c r="A42" s="2" t="inlineStr">
        <is>
          <t>CC-041</t>
        </is>
      </c>
      <c r="B42" s="2" t="inlineStr">
        <is>
          <t>Singapore</t>
        </is>
      </c>
      <c r="C42" s="2" t="inlineStr">
        <is>
          <t>Navis Capital Partners</t>
        </is>
      </c>
      <c r="D42" s="2" t="inlineStr">
        <is>
          <t>Later / portfolio route</t>
        </is>
      </c>
      <c r="E42" s="2" t="inlineStr">
        <is>
          <t>Senthil + Dr. Vijendran (proposed)</t>
        </is>
      </c>
      <c r="F42" s="2" t="inlineStr">
        <is>
          <t>Not contacted</t>
        </is>
      </c>
      <c r="G42" s="4" t="n"/>
      <c r="H42" s="4">
        <f>IF(G42="","",G42+5)</f>
        <v/>
      </c>
      <c r="I42" s="4">
        <f>IF(G42="","",G42+12)</f>
        <v/>
      </c>
      <c r="J42" s="4" t="n"/>
      <c r="K42" s="2" t="inlineStr">
        <is>
          <t>Request industrial portfolio technology-pilot introduction after case-study proof.</t>
        </is>
      </c>
      <c r="L42" s="2" t="inlineStr"/>
      <c r="M42" s="2" t="inlineStr"/>
      <c r="N42" s="2" t="inlineStr"/>
      <c r="O42" s="3" t="inlineStr">
        <is>
          <t>https://www.naviscapital.com/private-equity/the-navis-approach/</t>
        </is>
      </c>
    </row>
    <row r="43" ht="78" customHeight="1">
      <c r="A43" s="2" t="inlineStr">
        <is>
          <t>CC-042</t>
        </is>
      </c>
      <c r="B43" s="2" t="inlineStr">
        <is>
          <t>India</t>
        </is>
      </c>
      <c r="C43" s="2" t="inlineStr">
        <is>
          <t>IIT Madras Research Park Energy &amp; Sustainability</t>
        </is>
      </c>
      <c r="D43" s="2" t="inlineStr">
        <is>
          <t>Contact now</t>
        </is>
      </c>
      <c r="E43" s="2" t="inlineStr">
        <is>
          <t>Dr. Vijendran + Kumar (proposed)</t>
        </is>
      </c>
      <c r="F43" s="2" t="inlineStr">
        <is>
          <t>Not contacted</t>
        </is>
      </c>
      <c r="G43" s="4" t="n"/>
      <c r="H43" s="4">
        <f>IF(G43="","",G43+5)</f>
        <v/>
      </c>
      <c r="I43" s="4">
        <f>IF(G43="","",G43+12)</f>
        <v/>
      </c>
      <c r="J43" s="4" t="n"/>
      <c r="K43" s="2" t="inlineStr">
        <is>
          <t>Request CK/ESG measurement-validation partner and industrial energy pilot.</t>
        </is>
      </c>
      <c r="L43" s="2" t="inlineStr"/>
      <c r="M43" s="2" t="inlineStr"/>
      <c r="N43" s="2" t="inlineStr"/>
      <c r="O43" s="3" t="inlineStr">
        <is>
          <t>https://respark.iitm.ac.in/energy-sustainability</t>
        </is>
      </c>
    </row>
    <row r="44" ht="78" customHeight="1">
      <c r="A44" s="2" t="inlineStr">
        <is>
          <t>CC-043</t>
        </is>
      </c>
      <c r="B44" s="2" t="inlineStr">
        <is>
          <t>India</t>
        </is>
      </c>
      <c r="C44" s="2" t="inlineStr">
        <is>
          <t>IIT Madras Incubation Cell</t>
        </is>
      </c>
      <c r="D44" s="2" t="inlineStr">
        <is>
          <t>Contact now</t>
        </is>
      </c>
      <c r="E44" s="2" t="inlineStr">
        <is>
          <t>Dr. Vijendran + Kumar (proposed)</t>
        </is>
      </c>
      <c r="F44" s="2" t="inlineStr">
        <is>
          <t>Not contacted</t>
        </is>
      </c>
      <c r="G44" s="4" t="n"/>
      <c r="H44" s="4">
        <f>IF(G44="","",G44+5)</f>
        <v/>
      </c>
      <c r="I44" s="4">
        <f>IF(G44="","",G44+12)</f>
        <v/>
      </c>
      <c r="J44" s="4" t="n"/>
      <c r="K44" s="2" t="inlineStr">
        <is>
          <t>Ask admission fit for IIL/US licensed-IP structure and available seed routes.</t>
        </is>
      </c>
      <c r="L44" s="2" t="inlineStr"/>
      <c r="M44" s="2" t="inlineStr"/>
      <c r="N44" s="2" t="inlineStr"/>
      <c r="O44" s="3" t="inlineStr">
        <is>
          <t>https://www.iitm.ac.in/research-park/incubation-cell</t>
        </is>
      </c>
    </row>
    <row r="45" ht="78" customHeight="1">
      <c r="A45" s="2" t="inlineStr">
        <is>
          <t>CC-044</t>
        </is>
      </c>
      <c r="B45" s="2" t="inlineStr">
        <is>
          <t>India</t>
        </is>
      </c>
      <c r="C45" s="2" t="inlineStr">
        <is>
          <t>MeitY–nasscom CoE IoT &amp; AI</t>
        </is>
      </c>
      <c r="D45" s="2" t="inlineStr">
        <is>
          <t>Contact now</t>
        </is>
      </c>
      <c r="E45" s="2" t="inlineStr">
        <is>
          <t>Senthil + Dr. Vijendran (proposed)</t>
        </is>
      </c>
      <c r="F45" s="2" t="inlineStr">
        <is>
          <t>Not contacted</t>
        </is>
      </c>
      <c r="G45" s="4" t="n"/>
      <c r="H45" s="4">
        <f>IF(G45="","",G45+5)</f>
        <v/>
      </c>
      <c r="I45" s="4">
        <f>IF(G45="","",G45+12)</f>
        <v/>
      </c>
      <c r="J45" s="4" t="n"/>
      <c r="K45" s="2" t="inlineStr">
        <is>
          <t>Request corporate pilot matchmaking for industrial anomaly/PdM and infrastructure ESG.</t>
        </is>
      </c>
      <c r="L45" s="2" t="inlineStr"/>
      <c r="M45" s="2" t="inlineStr"/>
      <c r="N45" s="2" t="inlineStr"/>
      <c r="O45" s="3" t="inlineStr">
        <is>
          <t>https://startupharyana.gov.in/front/incubator/dbeab2eb-1777-4119-b5b1-5affdef89a10</t>
        </is>
      </c>
    </row>
    <row r="46" ht="78" customHeight="1">
      <c r="A46" s="2" t="inlineStr">
        <is>
          <t>CC-045</t>
        </is>
      </c>
      <c r="B46" s="2" t="inlineStr">
        <is>
          <t>India</t>
        </is>
      </c>
      <c r="C46" s="2" t="inlineStr">
        <is>
          <t>CII Indian Green Building Council</t>
        </is>
      </c>
      <c r="D46" s="2" t="inlineStr">
        <is>
          <t>Contact now</t>
        </is>
      </c>
      <c r="E46" s="2" t="inlineStr">
        <is>
          <t>Senthil + Balaji + Surya (proposed)</t>
        </is>
      </c>
      <c r="F46" s="2" t="inlineStr">
        <is>
          <t>Not contacted</t>
        </is>
      </c>
      <c r="G46" s="4" t="n"/>
      <c r="H46" s="4">
        <f>IF(G46="","",G46+5)</f>
        <v/>
      </c>
      <c r="I46" s="4">
        <f>IF(G46="","",G46+12)</f>
        <v/>
      </c>
      <c r="J46" s="4" t="n"/>
      <c r="K46" s="2" t="inlineStr">
        <is>
          <t>Ask Tamil Nadu pilot-owner and consultant introductions for energy/AQ/comfort measurements.</t>
        </is>
      </c>
      <c r="L46" s="2" t="inlineStr"/>
      <c r="M46" s="2" t="inlineStr"/>
      <c r="N46" s="2" t="inlineStr"/>
      <c r="O46" s="3" t="inlineStr">
        <is>
          <t>https://www.igbc.in/organisational-membership</t>
        </is>
      </c>
    </row>
    <row r="47" ht="78" customHeight="1">
      <c r="A47" s="2" t="inlineStr">
        <is>
          <t>CC-046</t>
        </is>
      </c>
      <c r="B47" s="2" t="inlineStr">
        <is>
          <t>India</t>
        </is>
      </c>
      <c r="C47" s="2" t="inlineStr">
        <is>
          <t>Transition VC</t>
        </is>
      </c>
      <c r="D47" s="2" t="inlineStr">
        <is>
          <t>Contact now</t>
        </is>
      </c>
      <c r="E47" s="2" t="inlineStr">
        <is>
          <t>Senthil + Dr. Vijendran (proposed)</t>
        </is>
      </c>
      <c r="F47" s="2" t="inlineStr">
        <is>
          <t>Not contacted</t>
        </is>
      </c>
      <c r="G47" s="4" t="n"/>
      <c r="H47" s="4">
        <f>IF(G47="","",G47+5)</f>
        <v/>
      </c>
      <c r="I47" s="4">
        <f>IF(G47="","",G47+12)</f>
        <v/>
      </c>
      <c r="J47" s="4" t="n"/>
      <c r="K47" s="2" t="inlineStr">
        <is>
          <t>Pitch one industrial/building conservation wedge and first paid-pilot milestones.</t>
        </is>
      </c>
      <c r="L47" s="2" t="inlineStr"/>
      <c r="M47" s="2" t="inlineStr"/>
      <c r="N47" s="2" t="inlineStr"/>
      <c r="O47" s="3" t="inlineStr">
        <is>
          <t>https://www.transitionventurecapital.com/</t>
        </is>
      </c>
    </row>
    <row r="48" ht="78" customHeight="1">
      <c r="A48" s="2" t="inlineStr">
        <is>
          <t>CC-047</t>
        </is>
      </c>
      <c r="B48" s="2" t="inlineStr">
        <is>
          <t>India</t>
        </is>
      </c>
      <c r="C48" s="2" t="inlineStr">
        <is>
          <t>BEE Energy Efficiency Financing Platform</t>
        </is>
      </c>
      <c r="D48" s="2" t="inlineStr">
        <is>
          <t>Contact now</t>
        </is>
      </c>
      <c r="E48" s="2" t="inlineStr">
        <is>
          <t>Senthil + Dr. Vijendran (proposed)</t>
        </is>
      </c>
      <c r="F48" s="2" t="inlineStr">
        <is>
          <t>Not contacted</t>
        </is>
      </c>
      <c r="G48" s="4" t="n"/>
      <c r="H48" s="4">
        <f>IF(G48="","",G48+5)</f>
        <v/>
      </c>
      <c r="I48" s="4">
        <f>IF(G48="","",G48+12)</f>
        <v/>
      </c>
      <c r="J48" s="4" t="n"/>
      <c r="K48" s="2" t="inlineStr">
        <is>
          <t>Ask technology-provider participation and ESCO/MSME pilot financing introductions.</t>
        </is>
      </c>
      <c r="L48" s="2" t="inlineStr"/>
      <c r="M48" s="2" t="inlineStr"/>
      <c r="N48" s="2" t="inlineStr"/>
      <c r="O48" s="3" t="inlineStr">
        <is>
          <t>https://www.beeindia.gov.in/show_content.php?lang=1&amp;level=2&amp;lid=419&amp;ls_id=344</t>
        </is>
      </c>
    </row>
    <row r="49" ht="78" customHeight="1">
      <c r="A49" s="2" t="inlineStr">
        <is>
          <t>CC-048</t>
        </is>
      </c>
      <c r="B49" s="2" t="inlineStr">
        <is>
          <t>India</t>
        </is>
      </c>
      <c r="C49" s="2" t="inlineStr">
        <is>
          <t>Speciale Invest</t>
        </is>
      </c>
      <c r="D49" s="2" t="inlineStr">
        <is>
          <t>Contact now</t>
        </is>
      </c>
      <c r="E49" s="2" t="inlineStr">
        <is>
          <t>Senthil + Dr. Vijendran (proposed)</t>
        </is>
      </c>
      <c r="F49" s="2" t="inlineStr">
        <is>
          <t>Not contacted</t>
        </is>
      </c>
      <c r="G49" s="4" t="n"/>
      <c r="H49" s="4">
        <f>IF(G49="","",G49+5)</f>
        <v/>
      </c>
      <c r="I49" s="4">
        <f>IF(G49="","",G49+12)</f>
        <v/>
      </c>
      <c r="J49" s="4" t="n"/>
      <c r="K49" s="2" t="inlineStr">
        <is>
          <t>Request screening of core sensor intelligence and PdM model IP with technical demo.</t>
        </is>
      </c>
      <c r="L49" s="2" t="inlineStr"/>
      <c r="M49" s="2" t="inlineStr"/>
      <c r="N49" s="2" t="inlineStr"/>
      <c r="O49" s="3" t="inlineStr">
        <is>
          <t>https://www.specialeinvest.com/about</t>
        </is>
      </c>
    </row>
    <row r="50" ht="78" customHeight="1">
      <c r="A50" s="2" t="inlineStr">
        <is>
          <t>CC-049</t>
        </is>
      </c>
      <c r="B50" s="2" t="inlineStr">
        <is>
          <t>India</t>
        </is>
      </c>
      <c r="C50" s="2" t="inlineStr">
        <is>
          <t>Anicut Seed Fund</t>
        </is>
      </c>
      <c r="D50" s="2" t="inlineStr">
        <is>
          <t>Contact now</t>
        </is>
      </c>
      <c r="E50" s="2" t="inlineStr">
        <is>
          <t>Senthil + Dr. Vijendran (proposed)</t>
        </is>
      </c>
      <c r="F50" s="2" t="inlineStr">
        <is>
          <t>Not contacted</t>
        </is>
      </c>
      <c r="G50" s="4" t="n"/>
      <c r="H50" s="4">
        <f>IF(G50="","",G50+5)</f>
        <v/>
      </c>
      <c r="I50" s="4">
        <f>IF(G50="","",G50+12)</f>
        <v/>
      </c>
      <c r="J50" s="4" t="n"/>
      <c r="K50" s="2" t="inlineStr">
        <is>
          <t>Ask pre-revenue stage-fit for a tightly scoped commercial launch round.</t>
        </is>
      </c>
      <c r="L50" s="2" t="inlineStr"/>
      <c r="M50" s="2" t="inlineStr"/>
      <c r="N50" s="2" t="inlineStr"/>
      <c r="O50" s="3" t="inlineStr">
        <is>
          <t>https://www.anicutcapital.com/seed/</t>
        </is>
      </c>
    </row>
    <row r="51" ht="78" customHeight="1">
      <c r="A51" s="2" t="inlineStr">
        <is>
          <t>CC-050</t>
        </is>
      </c>
      <c r="B51" s="2" t="inlineStr">
        <is>
          <t>India</t>
        </is>
      </c>
      <c r="C51" s="2" t="inlineStr">
        <is>
          <t>StartupTN TANSEED</t>
        </is>
      </c>
      <c r="D51" s="2" t="inlineStr">
        <is>
          <t>Conditional screen</t>
        </is>
      </c>
      <c r="E51" s="2" t="inlineStr">
        <is>
          <t>Senthil + Dr. Vijendran (proposed)</t>
        </is>
      </c>
      <c r="F51" s="2" t="inlineStr">
        <is>
          <t>Not contacted</t>
        </is>
      </c>
      <c r="G51" s="4" t="n"/>
      <c r="H51" s="4">
        <f>IF(G51="","",G51+5)</f>
        <v/>
      </c>
      <c r="I51" s="4">
        <f>IF(G51="","",G51+12)</f>
        <v/>
      </c>
      <c r="J51" s="4" t="n"/>
      <c r="K51" s="2" t="inlineStr">
        <is>
          <t>Ask eligibility of current IIL structure and next round, including equity terms.</t>
        </is>
      </c>
      <c r="L51" s="2" t="inlineStr"/>
      <c r="M51" s="2" t="inlineStr"/>
      <c r="N51" s="2" t="inlineStr"/>
      <c r="O51" s="3" t="inlineStr">
        <is>
          <t>https://www.startupindia.gov.in/srf/portal/SRF_2022_Result_page/Tamil_Nadu.pdf</t>
        </is>
      </c>
    </row>
    <row r="52" ht="78" customHeight="1">
      <c r="A52" s="2" t="inlineStr">
        <is>
          <t>CC-051</t>
        </is>
      </c>
      <c r="B52" s="2" t="inlineStr">
        <is>
          <t>India</t>
        </is>
      </c>
      <c r="C52" s="2" t="inlineStr">
        <is>
          <t>Startup India Seed Fund Scheme (SISFS)</t>
        </is>
      </c>
      <c r="D52" s="2" t="inlineStr">
        <is>
          <t>Eligibility gate first</t>
        </is>
      </c>
      <c r="E52" s="2" t="inlineStr">
        <is>
          <t>Senthil + Dr. Vijendran (proposed)</t>
        </is>
      </c>
      <c r="F52" s="2" t="inlineStr">
        <is>
          <t>Not contacted</t>
        </is>
      </c>
      <c r="G52" s="4" t="n"/>
      <c r="H52" s="4">
        <f>IF(G52="","",G52+5)</f>
        <v/>
      </c>
      <c r="I52" s="4">
        <f>IF(G52="","",G52+12)</f>
        <v/>
      </c>
      <c r="J52" s="4" t="n"/>
      <c r="K52" s="2" t="inlineStr">
        <is>
          <t>Eligibility inquiry only; do not apply using an entity that fails ownership/age.</t>
        </is>
      </c>
      <c r="L52" s="2" t="inlineStr"/>
      <c r="M52" s="2" t="inlineStr"/>
      <c r="N52" s="2" t="inlineStr"/>
      <c r="O52" s="3" t="inlineStr">
        <is>
          <t>https://seedfund.startupindia.gov.in/about</t>
        </is>
      </c>
    </row>
    <row r="53" ht="78" customHeight="1">
      <c r="A53" s="2" t="inlineStr">
        <is>
          <t>CC-052</t>
        </is>
      </c>
      <c r="B53" s="2" t="inlineStr">
        <is>
          <t>India</t>
        </is>
      </c>
      <c r="C53" s="2" t="inlineStr">
        <is>
          <t>Everstone Capital</t>
        </is>
      </c>
      <c r="D53" s="2" t="inlineStr">
        <is>
          <t>Later / portfolio route</t>
        </is>
      </c>
      <c r="E53" s="2" t="inlineStr">
        <is>
          <t>Senthil + Dr. Vijendran (proposed)</t>
        </is>
      </c>
      <c r="F53" s="2" t="inlineStr">
        <is>
          <t>Not contacted</t>
        </is>
      </c>
      <c r="G53" s="4" t="n"/>
      <c r="H53" s="4">
        <f>IF(G53="","",G53+5)</f>
        <v/>
      </c>
      <c r="I53" s="4">
        <f>IF(G53="","",G53+12)</f>
        <v/>
      </c>
      <c r="J53" s="4" t="n"/>
      <c r="K53" s="2" t="inlineStr">
        <is>
          <t>Seek relevant portfolio buyer/technology-pilot introduction after demonstrated outcome.</t>
        </is>
      </c>
      <c r="L53" s="2" t="inlineStr"/>
      <c r="M53" s="2" t="inlineStr"/>
      <c r="N53" s="2" t="inlineStr"/>
      <c r="O53" s="3" t="inlineStr">
        <is>
          <t>https://everstonecapital.com/</t>
        </is>
      </c>
    </row>
  </sheetData>
  <autoFilter ref="A1:O53"/>
  <dataValidations count="1">
    <dataValidation sqref="F2:F53" showDropDown="0" showInputMessage="0" showErrorMessage="0" allowBlank="0" type="list">
      <formula1>"Not contacted,Prepared,Sent,Reply received,Meeting booked,Eligibility hold,Applied,Declined,Won,Watchlist"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53"/>
  </tableParts>
</worksheet>
</file>

<file path=xl/worksheets/sheet12.xml><?xml version="1.0" encoding="utf-8"?>
<worksheet xmlns="http://schemas.openxmlformats.org/spreadsheetml/2006/main">
  <sheetPr>
    <tabColor rgb="00007F86"/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3" customWidth="1" min="2" max="2"/>
    <col width="44" customWidth="1" min="3" max="3"/>
    <col width="26" customWidth="1" min="4" max="4"/>
    <col width="100" customWidth="1" min="5" max="5"/>
    <col width="65" customWidth="1" min="6" max="6"/>
  </cols>
  <sheetData>
    <row r="1" ht="32" customHeight="1">
      <c r="A1" s="1" t="inlineStr">
        <is>
          <t>Step</t>
        </is>
      </c>
      <c r="B1" s="1" t="inlineStr">
        <is>
          <t>Timing / subject</t>
        </is>
      </c>
      <c r="C1" s="1" t="inlineStr">
        <is>
          <t>Action / template</t>
        </is>
      </c>
      <c r="D1" s="1" t="inlineStr">
        <is>
          <t>Proposed owner</t>
        </is>
      </c>
      <c r="E1" s="1" t="inlineStr">
        <is>
          <t>Deliverable / draft</t>
        </is>
      </c>
      <c r="F1" s="1" t="inlineStr">
        <is>
          <t>Acceptance / caution</t>
        </is>
      </c>
    </row>
    <row r="2" ht="78" customHeight="1">
      <c r="A2" s="2" t="inlineStr">
        <is>
          <t>1</t>
        </is>
      </c>
      <c r="B2" s="2" t="inlineStr">
        <is>
          <t>6–8 Oct 2026</t>
        </is>
      </c>
      <c r="C2" s="2" t="inlineStr">
        <is>
          <t>Prepare outreach pack</t>
        </is>
      </c>
      <c r="D2" s="2" t="inlineStr">
        <is>
          <t>Senthil / Balaji / Kumar / Surya</t>
        </is>
      </c>
      <c r="E2" s="2" t="inlineStr">
        <is>
          <t>8-slide deck, 2-min demo, 90-day use-of-funds, current cap table, IP matrix and one conservation pilot brief.</t>
        </is>
      </c>
      <c r="F2" s="2" t="inlineStr">
        <is>
          <t>Ready for screening; no unsupported traction or savings claims.</t>
        </is>
      </c>
    </row>
    <row r="3" ht="78" customHeight="1">
      <c r="A3" s="2" t="inlineStr">
        <is>
          <t>2</t>
        </is>
      </c>
      <c r="B3" s="2" t="inlineStr">
        <is>
          <t>7–13 Oct 2026</t>
        </is>
      </c>
      <c r="C3" s="2" t="inlineStr">
        <is>
          <t>First contact wave</t>
        </is>
      </c>
      <c r="D3" s="2" t="inlineStr">
        <is>
          <t>Senthil + Dr. Vijendran</t>
        </is>
      </c>
      <c r="E3" s="2" t="inlineStr">
        <is>
          <t>Use 01_First_Actions and send programme-specific ask. Request public terms where uncertain.</t>
        </is>
      </c>
      <c r="F3" s="2" t="inlineStr">
        <is>
          <t>20 personalized contacts; useful response or referral; no assumed funding win.</t>
        </is>
      </c>
    </row>
    <row r="4" ht="78" customHeight="1">
      <c r="A4" s="2" t="inlineStr">
        <is>
          <t>3</t>
        </is>
      </c>
      <c r="B4" s="2" t="inlineStr">
        <is>
          <t>14–20 Oct 2026</t>
        </is>
      </c>
      <c r="C4" s="2" t="inlineStr">
        <is>
          <t>Pilot and validation proposals</t>
        </is>
      </c>
      <c r="D4" s="2" t="inlineStr">
        <is>
          <t>Surya + Kumar + Balaji</t>
        </is>
      </c>
      <c r="E4" s="2" t="inlineStr">
        <is>
          <t>Offer 60–90-day paid/co-funded pilot; define energy/water/AQ/uptime baseline, technical acceptance, data and IP rights.</t>
        </is>
      </c>
      <c r="F4" s="2" t="inlineStr">
        <is>
          <t>At least two substantive pilot/validation scoping discussions as internal target.</t>
        </is>
      </c>
    </row>
    <row r="5" ht="78" customHeight="1">
      <c r="A5" s="2" t="inlineStr">
        <is>
          <t>4</t>
        </is>
      </c>
      <c r="B5" s="2" t="inlineStr">
        <is>
          <t>21–27 Oct 2026</t>
        </is>
      </c>
      <c r="C5" s="2" t="inlineStr">
        <is>
          <t>Investor meetings / grant screening</t>
        </is>
      </c>
      <c r="D5" s="2" t="inlineStr">
        <is>
          <t>Senthil + CFO</t>
        </is>
      </c>
      <c r="E5" s="2" t="inlineStr">
        <is>
          <t>Send focused raise memo to eligible seed targets; apply only after gates and current intake confirmed.</t>
        </is>
      </c>
      <c r="F5" s="2" t="inlineStr">
        <is>
          <t>Qualified investor meetings and documented eligibility decisions.</t>
        </is>
      </c>
    </row>
    <row r="6" ht="78" customHeight="1">
      <c r="A6" s="2" t="inlineStr">
        <is>
          <t>5</t>
        </is>
      </c>
      <c r="B6" s="2" t="inlineStr">
        <is>
          <t>28 Oct–5 Nov 2026</t>
        </is>
      </c>
      <c r="C6" s="2" t="inlineStr">
        <is>
          <t>Close next steps and refresh</t>
        </is>
      </c>
      <c r="D6" s="2" t="inlineStr">
        <is>
          <t>Corporate outreach team</t>
        </is>
      </c>
      <c r="E6" s="2" t="inlineStr">
        <is>
          <t>Record replies, confirmed deadlines, named contacts, next actions; update priority from actual evidence.</t>
        </is>
      </c>
      <c r="F6" s="2" t="inlineStr">
        <is>
          <t>One prioritized pilot or funding process advancing; internal objective, not forecast.</t>
        </is>
      </c>
    </row>
    <row r="7" ht="78" customHeight="1">
      <c r="A7" s="2" t="inlineStr">
        <is>
          <t>Email A</t>
        </is>
      </c>
      <c r="B7" s="2" t="inlineStr">
        <is>
          <t>Investor subject</t>
        </is>
      </c>
      <c r="C7" s="2" t="inlineStr">
        <is>
          <t>Pre-revenue infrastructure AI: [specific wedge] / seed fit</t>
        </is>
      </c>
      <c r="D7" s="2" t="inlineStr">
        <is>
          <t>Senthil</t>
        </is>
      </c>
      <c r="E7" s="2" t="inlineStr">
        <is>
          <t>Inspironics is building autonomous infrastructure intelligence. Our current focus is [one product] for [one buyer], with [verified MVP evidence]. We seek [amount and instrument, to be finalized] to deliver [90-day milestones]. Your [published thesis] appears relevant. May we arrange a short fit discussion? Deck and demo: [links].</t>
        </is>
      </c>
      <c r="F7" s="2" t="inlineStr">
        <is>
          <t>Replace placeholders and confirm ask; do not imply projected orders are collected revenue.</t>
        </is>
      </c>
    </row>
    <row r="8" ht="78" customHeight="1">
      <c r="A8" s="2" t="inlineStr">
        <is>
          <t>Email B</t>
        </is>
      </c>
      <c r="B8" s="2" t="inlineStr">
        <is>
          <t>Programme subject</t>
        </is>
      </c>
      <c r="C8" s="2" t="inlineStr">
        <is>
          <t>Eligibility check / [programme] / energy conservation AIoT</t>
        </is>
      </c>
      <c r="D8" s="2" t="inlineStr">
        <is>
          <t>Corporate team</t>
        </is>
      </c>
      <c r="E8" s="2" t="inlineStr">
        <is>
          <t>We are a NJ-incorporated US company with an India engineering operation, currently pre-revenue. We propose [specific conservation project]. Before applying, could you confirm [identified gate], current intake and support terms? We can share a concise technical brief and pilot measurement plan.</t>
        </is>
      </c>
      <c r="F8" s="2" t="inlineStr">
        <is>
          <t>State actual structure; ask the exact gate from the row.</t>
        </is>
      </c>
    </row>
    <row r="9" ht="78" customHeight="1">
      <c r="A9" s="2" t="inlineStr">
        <is>
          <t>Email C</t>
        </is>
      </c>
      <c r="B9" s="2" t="inlineStr">
        <is>
          <t>Academic/consortium subject</t>
        </is>
      </c>
      <c r="C9" s="2" t="inlineStr">
        <is>
          <t>Applied pilot collaboration: [energy/AQ/PdM use case]</t>
        </is>
      </c>
      <c r="D9" s="2" t="inlineStr">
        <is>
          <t>Dr. Vijendran / Kumar</t>
        </is>
      </c>
      <c r="E9" s="2" t="inlineStr">
        <is>
          <t>We seek an applied validation partner for [use case] using CK/FleetXplorer and ESG AIoT. Proposed scope: baseline measurement, sensor data reliability, model evaluation and business outcomes over 60–90 days. Could your team advise the appropriate collaborator, budget and IP framework?</t>
        </is>
      </c>
      <c r="F9" s="2" t="inlineStr">
        <is>
          <t>Joint proposal rather than generic request for university funding.</t>
        </is>
      </c>
    </row>
  </sheetData>
  <autoFilter ref="A1:F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07F86"/>
    <outlinePr summaryBelow="1" summaryRight="1"/>
    <pageSetUpPr fitToPage="1"/>
  </sheetPr>
  <dimension ref="A1:AA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36" customWidth="1" min="7" max="7"/>
    <col width="26" customWidth="1" min="8" max="8"/>
    <col width="26" customWidth="1" min="9" max="9"/>
    <col width="26" customWidth="1" min="10" max="10"/>
    <col width="26" customWidth="1" min="11" max="11"/>
    <col width="60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50" customWidth="1" min="21" max="21"/>
    <col width="50" customWidth="1" min="22" max="22"/>
    <col width="26" customWidth="1" min="23" max="23"/>
    <col width="26" customWidth="1" min="24" max="24"/>
    <col width="65" customWidth="1" min="25" max="25"/>
    <col width="26" customWidth="1" min="26" max="26"/>
    <col width="26" customWidth="1" min="27" max="27"/>
  </cols>
  <sheetData>
    <row r="1" ht="32" customHeight="1">
      <c r="A1" s="1" t="inlineStr">
        <is>
          <t>prospect_id</t>
        </is>
      </c>
      <c r="B1" s="1" t="inlineStr">
        <is>
          <t>engine</t>
        </is>
      </c>
      <c r="C1" s="1" t="inlineStr">
        <is>
          <t>module</t>
        </is>
      </c>
      <c r="D1" s="1" t="inlineStr">
        <is>
          <t>country</t>
        </is>
      </c>
      <c r="E1" s="1" t="inlineStr">
        <is>
          <t>country_order</t>
        </is>
      </c>
      <c r="F1" s="1" t="inlineStr">
        <is>
          <t>country_rank</t>
        </is>
      </c>
      <c r="G1" s="1" t="inlineStr">
        <is>
          <t>organization</t>
        </is>
      </c>
      <c r="H1" s="1" t="inlineStr">
        <is>
          <t>category</t>
        </is>
      </c>
      <c r="I1" s="1" t="inlineStr">
        <is>
          <t>instrument</t>
        </is>
      </c>
      <c r="J1" s="1" t="inlineStr">
        <is>
          <t>vertical_products</t>
        </is>
      </c>
      <c r="K1" s="1" t="inlineStr">
        <is>
          <t>stage_fit</t>
        </is>
      </c>
      <c r="L1" s="1" t="inlineStr">
        <is>
          <t>eligibility_gate</t>
        </is>
      </c>
      <c r="M1" s="1" t="inlineStr">
        <is>
          <t>route</t>
        </is>
      </c>
      <c r="N1" s="1" t="inlineStr">
        <is>
          <t>engagement_outlook</t>
        </is>
      </c>
      <c r="O1" s="1" t="inlineStr">
        <is>
          <t>cash_outlook</t>
        </is>
      </c>
      <c r="P1" s="1" t="inlineStr">
        <is>
          <t>relevance_1_5</t>
        </is>
      </c>
      <c r="Q1" s="1" t="inlineStr">
        <is>
          <t>accessibility_1_5</t>
        </is>
      </c>
      <c r="R1" s="1" t="inlineStr">
        <is>
          <t>readiness_1_5</t>
        </is>
      </c>
      <c r="S1" s="1" t="inlineStr">
        <is>
          <t>priority_score</t>
        </is>
      </c>
      <c r="T1" s="1" t="inlineStr">
        <is>
          <t>contact_channel</t>
        </is>
      </c>
      <c r="U1" s="1" t="inlineStr">
        <is>
          <t>contact_url</t>
        </is>
      </c>
      <c r="V1" s="1" t="inlineStr">
        <is>
          <t>official_source_url</t>
        </is>
      </c>
      <c r="W1" s="1" t="inlineStr">
        <is>
          <t>verified_on</t>
        </is>
      </c>
      <c r="X1" s="1" t="inlineStr">
        <is>
          <t>programme_status</t>
        </is>
      </c>
      <c r="Y1" s="1" t="inlineStr">
        <is>
          <t>next_action</t>
        </is>
      </c>
      <c r="Z1" s="1" t="inlineStr">
        <is>
          <t>status</t>
        </is>
      </c>
      <c r="AA1" s="1" t="inlineStr">
        <is>
          <t>proposed_owner</t>
        </is>
      </c>
    </row>
    <row r="2" ht="78" customHeight="1">
      <c r="A2" s="2" t="inlineStr">
        <is>
          <t>CC-001</t>
        </is>
      </c>
      <c r="B2" s="2" t="inlineStr">
        <is>
          <t>Meris</t>
        </is>
      </c>
      <c r="C2" s="2" t="inlineStr">
        <is>
          <t>Capital Cortex</t>
        </is>
      </c>
      <c r="D2" s="2" t="inlineStr">
        <is>
          <t>USA</t>
        </is>
      </c>
      <c r="E2" s="2" t="n">
        <v>1</v>
      </c>
      <c r="F2" s="2" t="n">
        <v>1</v>
      </c>
      <c r="G2" s="2" t="inlineStr">
        <is>
          <t>AWS Activate</t>
        </is>
      </c>
      <c r="H2" s="2" t="inlineStr">
        <is>
          <t>Cloud credits</t>
        </is>
      </c>
      <c r="I2" s="2" t="inlineStr">
        <is>
          <t>Non-cash credits</t>
        </is>
      </c>
      <c r="J2" s="2" t="inlineStr">
        <is>
          <t>All / CK / ESG AIoT</t>
        </is>
      </c>
      <c r="K2" s="2" t="inlineStr">
        <is>
          <t>Pre-seed supported</t>
        </is>
      </c>
      <c r="L2" s="2" t="inlineStr">
        <is>
          <t>Founded within last 10 years; paid-tier AWS account; prior credits check. Inspironics Nov 2017 appears within age limit. Provider Org ID required for Portfolio.</t>
        </is>
      </c>
      <c r="M2" s="2" t="inlineStr">
        <is>
          <t>Contact now</t>
        </is>
      </c>
      <c r="N2" s="2" t="inlineStr">
        <is>
          <t>High</t>
        </is>
      </c>
      <c r="O2" s="2" t="inlineStr">
        <is>
          <t>No unrestricted cash</t>
        </is>
      </c>
      <c r="P2" s="2" t="n">
        <v>5</v>
      </c>
      <c r="Q2" s="2" t="n">
        <v>5</v>
      </c>
      <c r="R2" s="2" t="n">
        <v>5</v>
      </c>
      <c r="S2" s="2" t="n">
        <v>100</v>
      </c>
      <c r="T2" s="2" t="inlineStr">
        <is>
          <t>AWS Activate application team</t>
        </is>
      </c>
      <c r="U2" s="3" t="inlineStr">
        <is>
          <t>https://aws.amazon.com/startups/credits/</t>
        </is>
      </c>
      <c r="V2" s="3" t="inlineStr">
        <is>
          <t>https://aws.amazon.com/startups/credits/</t>
        </is>
      </c>
      <c r="W2" s="2" t="inlineStr">
        <is>
          <t>2026-10-06</t>
        </is>
      </c>
      <c r="X2" s="2" t="inlineStr">
        <is>
          <t>Application route live</t>
        </is>
      </c>
      <c r="Y2" s="2" t="inlineStr">
        <is>
          <t>Check prior credits, then apply for appropriate tier to support CK/ESG/Yardos demos.</t>
        </is>
      </c>
      <c r="Z2" s="2" t="inlineStr">
        <is>
          <t>Not contacted</t>
        </is>
      </c>
      <c r="AA2" s="2" t="inlineStr">
        <is>
          <t>Senthil + Dr. Vijendran (proposed)</t>
        </is>
      </c>
    </row>
    <row r="3" ht="78" customHeight="1">
      <c r="A3" s="2" t="inlineStr">
        <is>
          <t>CC-002</t>
        </is>
      </c>
      <c r="B3" s="2" t="inlineStr">
        <is>
          <t>Meris</t>
        </is>
      </c>
      <c r="C3" s="2" t="inlineStr">
        <is>
          <t>Capital Cortex</t>
        </is>
      </c>
      <c r="D3" s="2" t="inlineStr">
        <is>
          <t>USA</t>
        </is>
      </c>
      <c r="E3" s="2" t="n">
        <v>1</v>
      </c>
      <c r="F3" s="2" t="n">
        <v>2</v>
      </c>
      <c r="G3" s="2" t="inlineStr">
        <is>
          <t>CO.LAB / The Company Lab</t>
        </is>
      </c>
      <c r="H3" s="2" t="inlineStr">
        <is>
          <t>Accelerator</t>
        </is>
      </c>
      <c r="I3" s="2" t="inlineStr">
        <is>
          <t>Mentoring / pilots; capital terms to confirm</t>
        </is>
      </c>
      <c r="J3" s="2" t="inlineStr">
        <is>
          <t>Energy / industrial efficiency / data</t>
        </is>
      </c>
      <c r="K3" s="2" t="inlineStr">
        <is>
          <t>Early-stage accelerator</t>
        </is>
      </c>
      <c r="L3" s="2" t="inlineStr">
        <is>
          <t>Assumed user means Chattanooga CO.LAB; confirm cohort, in-person commitment, equity and award terms.</t>
        </is>
      </c>
      <c r="M3" s="2" t="inlineStr">
        <is>
          <t>Contact now</t>
        </is>
      </c>
      <c r="N3" s="2" t="inlineStr">
        <is>
          <t>High</t>
        </is>
      </c>
      <c r="O3" s="2" t="inlineStr">
        <is>
          <t>No direct cash confirmed</t>
        </is>
      </c>
      <c r="P3" s="2" t="n">
        <v>5</v>
      </c>
      <c r="Q3" s="2" t="n">
        <v>4</v>
      </c>
      <c r="R3" s="2" t="n">
        <v>4</v>
      </c>
      <c r="S3" s="2" t="n">
        <v>90</v>
      </c>
      <c r="T3" s="2" t="inlineStr">
        <is>
          <t>info@colab.is | +1 423-281-0811</t>
        </is>
      </c>
      <c r="U3" s="3" t="inlineStr">
        <is>
          <t>https://thecompanylab.org/accelerator/energy-innovation/</t>
        </is>
      </c>
      <c r="V3" s="3" t="inlineStr">
        <is>
          <t>https://thecompanylab.org/accelerator/energy-innovation/</t>
        </is>
      </c>
      <c r="W3" s="2" t="inlineStr">
        <is>
          <t>2026-10-06</t>
        </is>
      </c>
      <c r="X3" s="2" t="inlineStr">
        <is>
          <t>Application link live; next intake unconfirmed</t>
        </is>
      </c>
      <c r="Y3" s="2" t="inlineStr">
        <is>
          <t>Request energy-cohort screening and utility/industrial pilot introductions for CK + ESG AIoT.</t>
        </is>
      </c>
      <c r="Z3" s="2" t="inlineStr">
        <is>
          <t>Not contacted</t>
        </is>
      </c>
      <c r="AA3" s="2" t="inlineStr">
        <is>
          <t>Senthil + Dr. Vijendran (proposed)</t>
        </is>
      </c>
    </row>
    <row r="4" ht="78" customHeight="1">
      <c r="A4" s="2" t="inlineStr">
        <is>
          <t>CC-003</t>
        </is>
      </c>
      <c r="B4" s="2" t="inlineStr">
        <is>
          <t>Meris</t>
        </is>
      </c>
      <c r="C4" s="2" t="inlineStr">
        <is>
          <t>Capital Cortex</t>
        </is>
      </c>
      <c r="D4" s="2" t="inlineStr">
        <is>
          <t>USA</t>
        </is>
      </c>
      <c r="E4" s="2" t="n">
        <v>1</v>
      </c>
      <c r="F4" s="2" t="n">
        <v>3</v>
      </c>
      <c r="G4" s="2" t="inlineStr">
        <is>
          <t>Rutgers EcoComplex</t>
        </is>
      </c>
      <c r="H4" s="2" t="inlineStr">
        <is>
          <t>Academia / incubator</t>
        </is>
      </c>
      <c r="I4" s="2" t="inlineStr">
        <is>
          <t>Validation / facilities / introductions</t>
        </is>
      </c>
      <c r="J4" s="2" t="inlineStr">
        <is>
          <t>Clean energy / controlled-environment agriculture</t>
        </is>
      </c>
      <c r="K4" s="2" t="inlineStr">
        <is>
          <t>Incubation pathway; admission discretionary</t>
        </is>
      </c>
      <c r="L4" s="2" t="inlineStr">
        <is>
          <t>Paid facilities/incubation possible; academic tie-up does not automatically fund startup.</t>
        </is>
      </c>
      <c r="M4" s="2" t="inlineStr">
        <is>
          <t>Contact now</t>
        </is>
      </c>
      <c r="N4" s="2" t="inlineStr">
        <is>
          <t>High</t>
        </is>
      </c>
      <c r="O4" s="2" t="inlineStr">
        <is>
          <t>No direct cash confirmed</t>
        </is>
      </c>
      <c r="P4" s="2" t="n">
        <v>5</v>
      </c>
      <c r="Q4" s="2" t="n">
        <v>4</v>
      </c>
      <c r="R4" s="2" t="n">
        <v>4</v>
      </c>
      <c r="S4" s="2" t="n">
        <v>90</v>
      </c>
      <c r="T4" s="2" t="inlineStr">
        <is>
          <t>ecocomplex@njaes.rutgers.edu</t>
        </is>
      </c>
      <c r="U4" s="3" t="inlineStr">
        <is>
          <t>https://ecocomplex.rutgers.edu/contact.html</t>
        </is>
      </c>
      <c r="V4" s="3" t="inlineStr">
        <is>
          <t>https://ecocomplex.rutgers.edu/incubator-businesses.html</t>
        </is>
      </c>
      <c r="W4" s="2" t="inlineStr">
        <is>
          <t>2026-10-06</t>
        </is>
      </c>
      <c r="X4" s="2" t="inlineStr">
        <is>
          <t>Public contact live</t>
        </is>
      </c>
      <c r="Y4" s="2" t="inlineStr">
        <is>
          <t>Request lab validation scope for energy/AQ/water and vertical-farm monitoring.</t>
        </is>
      </c>
      <c r="Z4" s="2" t="inlineStr">
        <is>
          <t>Not contacted</t>
        </is>
      </c>
      <c r="AA4" s="2" t="inlineStr">
        <is>
          <t>Dr. Vijendran + Kumar (proposed)</t>
        </is>
      </c>
    </row>
    <row r="5" ht="78" customHeight="1">
      <c r="A5" s="2" t="inlineStr">
        <is>
          <t>CC-004</t>
        </is>
      </c>
      <c r="B5" s="2" t="inlineStr">
        <is>
          <t>Meris</t>
        </is>
      </c>
      <c r="C5" s="2" t="inlineStr">
        <is>
          <t>Capital Cortex</t>
        </is>
      </c>
      <c r="D5" s="2" t="inlineStr">
        <is>
          <t>USA</t>
        </is>
      </c>
      <c r="E5" s="2" t="n">
        <v>1</v>
      </c>
      <c r="F5" s="2" t="n">
        <v>4</v>
      </c>
      <c r="G5" s="2" t="inlineStr">
        <is>
          <t>AHLA / HTNG AI Community</t>
        </is>
      </c>
      <c r="H5" s="2" t="inlineStr">
        <is>
          <t>Industry consortium</t>
        </is>
      </c>
      <c r="I5" s="2" t="inlineStr">
        <is>
          <t>Standards / buyer access; no direct capital</t>
        </is>
      </c>
      <c r="J5" s="2" t="inlineStr">
        <is>
          <t>Hospitality / HMS / Xenia</t>
        </is>
      </c>
      <c r="K5" s="2" t="inlineStr">
        <is>
          <t>Vendor ecosystem access</t>
        </is>
      </c>
      <c r="L5" s="2" t="inlineStr">
        <is>
          <t>Membership fees and working-group terms to check.</t>
        </is>
      </c>
      <c r="M5" s="2" t="inlineStr">
        <is>
          <t>Contact now</t>
        </is>
      </c>
      <c r="N5" s="2" t="inlineStr">
        <is>
          <t>High</t>
        </is>
      </c>
      <c r="O5" s="2" t="inlineStr">
        <is>
          <t>No direct cash confirmed</t>
        </is>
      </c>
      <c r="P5" s="2" t="n">
        <v>5</v>
      </c>
      <c r="Q5" s="2" t="n">
        <v>4</v>
      </c>
      <c r="R5" s="2" t="n">
        <v>4</v>
      </c>
      <c r="S5" s="2" t="n">
        <v>90</v>
      </c>
      <c r="T5" s="2" t="inlineStr">
        <is>
          <t>Darrel Hugh | dhugh@ahla.com</t>
        </is>
      </c>
      <c r="U5" s="3" t="inlineStr">
        <is>
          <t>https://www.ahla.com/htng/communities-of-interest-artificial-intelligence</t>
        </is>
      </c>
      <c r="V5" s="3" t="inlineStr">
        <is>
          <t>https://www.ahla.com/htng/communities-of-interest-artificial-intelligence</t>
        </is>
      </c>
      <c r="W5" s="2" t="inlineStr">
        <is>
          <t>2026-10-06</t>
        </is>
      </c>
      <c r="X5" s="2" t="inlineStr">
        <is>
          <t>Public AI community contact</t>
        </is>
      </c>
      <c r="Y5" s="2" t="inlineStr">
        <is>
          <t>Request interoperability/AI working-group access and hotel pilot introductions.</t>
        </is>
      </c>
      <c r="Z5" s="2" t="inlineStr">
        <is>
          <t>Not contacted</t>
        </is>
      </c>
      <c r="AA5" s="2" t="inlineStr">
        <is>
          <t>Senthil + Balaji + Surya (proposed)</t>
        </is>
      </c>
    </row>
    <row r="6" ht="78" customHeight="1">
      <c r="A6" s="2" t="inlineStr">
        <is>
          <t>CC-005</t>
        </is>
      </c>
      <c r="B6" s="2" t="inlineStr">
        <is>
          <t>Meris</t>
        </is>
      </c>
      <c r="C6" s="2" t="inlineStr">
        <is>
          <t>Capital Cortex</t>
        </is>
      </c>
      <c r="D6" s="2" t="inlineStr">
        <is>
          <t>USA</t>
        </is>
      </c>
      <c r="E6" s="2" t="n">
        <v>1</v>
      </c>
      <c r="F6" s="2" t="n">
        <v>5</v>
      </c>
      <c r="G6" s="2" t="inlineStr">
        <is>
          <t>PSE&amp;G Energy Management / Trade Ally</t>
        </is>
      </c>
      <c r="H6" s="2" t="inlineStr">
        <is>
          <t>Utility programme</t>
        </is>
      </c>
      <c r="I6" s="2" t="inlineStr">
        <is>
          <t>Customer incentives / delivery channel</t>
        </is>
      </c>
      <c r="J6" s="2" t="inlineStr">
        <is>
          <t>Buildings / factories / hospitals</t>
        </is>
      </c>
      <c r="K6" s="2" t="inlineStr">
        <is>
          <t>Technology partner; not corporate grant</t>
        </is>
      </c>
      <c r="L6" s="2" t="inlineStr">
        <is>
          <t>NJ customer site; approved measure and delivery partner; standalone SaaS eligibility unconfirmed.</t>
        </is>
      </c>
      <c r="M6" s="2" t="inlineStr">
        <is>
          <t>Contact now</t>
        </is>
      </c>
      <c r="N6" s="2" t="inlineStr">
        <is>
          <t>High</t>
        </is>
      </c>
      <c r="O6" s="2" t="inlineStr">
        <is>
          <t>No direct cash confirmed</t>
        </is>
      </c>
      <c r="P6" s="2" t="n">
        <v>5</v>
      </c>
      <c r="Q6" s="2" t="n">
        <v>4</v>
      </c>
      <c r="R6" s="2" t="n">
        <v>3</v>
      </c>
      <c r="S6" s="2" t="n">
        <v>86</v>
      </c>
      <c r="T6" s="2" t="inlineStr">
        <is>
          <t>PSEG-CleanEnergy@pseg.com</t>
        </is>
      </c>
      <c r="U6" s="3" t="inlineStr">
        <is>
          <t>https://mybizenergy.pseg.com/energy-management-program</t>
        </is>
      </c>
      <c r="V6" s="3" t="inlineStr">
        <is>
          <t>https://bizsaveportal.pseg.com/TradeAlly/TradeAllyApplication/Begin</t>
        </is>
      </c>
      <c r="W6" s="2" t="inlineStr">
        <is>
          <t>2026-10-06</t>
        </is>
      </c>
      <c r="X6" s="2" t="inlineStr">
        <is>
          <t>Programme and Trade Ally route live</t>
        </is>
      </c>
      <c r="Y6" s="2" t="inlineStr">
        <is>
          <t>Ask whether CK monitoring can qualify through an approved commissioning/ESCO partner.</t>
        </is>
      </c>
      <c r="Z6" s="2" t="inlineStr">
        <is>
          <t>Not contacted</t>
        </is>
      </c>
      <c r="AA6" s="2" t="inlineStr">
        <is>
          <t>Senthil + Balaji + Surya (proposed)</t>
        </is>
      </c>
    </row>
    <row r="7" ht="78" customHeight="1">
      <c r="A7" s="2" t="inlineStr">
        <is>
          <t>CC-006</t>
        </is>
      </c>
      <c r="B7" s="2" t="inlineStr">
        <is>
          <t>Meris</t>
        </is>
      </c>
      <c r="C7" s="2" t="inlineStr">
        <is>
          <t>Capital Cortex</t>
        </is>
      </c>
      <c r="D7" s="2" t="inlineStr">
        <is>
          <t>USA</t>
        </is>
      </c>
      <c r="E7" s="2" t="n">
        <v>1</v>
      </c>
      <c r="F7" s="2" t="n">
        <v>6</v>
      </c>
      <c r="G7" s="2" t="inlineStr">
        <is>
          <t>Third Derivative (RMI)</t>
        </is>
      </c>
      <c r="H7" s="2" t="inlineStr">
        <is>
          <t>Accelerator</t>
        </is>
      </c>
      <c r="I7" s="2" t="inlineStr">
        <is>
          <t>Climate accelerator / investor access</t>
        </is>
      </c>
      <c r="J7" s="2" t="inlineStr">
        <is>
          <t>Buildings / industry / energy</t>
        </is>
      </c>
      <c r="K7" s="2" t="inlineStr">
        <is>
          <t>Climate startup pathway</t>
        </is>
      </c>
      <c r="L7" s="2" t="inlineStr">
        <is>
          <t>Show material climate impact and defensible innovation; verify intake and investment terms.</t>
        </is>
      </c>
      <c r="M7" s="2" t="inlineStr">
        <is>
          <t>Contact now</t>
        </is>
      </c>
      <c r="N7" s="2" t="inlineStr">
        <is>
          <t>Medium</t>
        </is>
      </c>
      <c r="O7" s="2" t="inlineStr">
        <is>
          <t>No direct cash confirmed</t>
        </is>
      </c>
      <c r="P7" s="2" t="n">
        <v>5</v>
      </c>
      <c r="Q7" s="2" t="n">
        <v>3</v>
      </c>
      <c r="R7" s="2" t="n">
        <v>4</v>
      </c>
      <c r="S7" s="2" t="n">
        <v>84</v>
      </c>
      <c r="T7" s="2" t="inlineStr">
        <is>
          <t>Startup application team via programme page</t>
        </is>
      </c>
      <c r="U7" s="3" t="inlineStr">
        <is>
          <t>https://www.third-derivative.org/startups</t>
        </is>
      </c>
      <c r="V7" s="3" t="inlineStr">
        <is>
          <t>https://www.third-derivative.org/startups</t>
        </is>
      </c>
      <c r="W7" s="2" t="inlineStr">
        <is>
          <t>2026-10-06</t>
        </is>
      </c>
      <c r="X7" s="2" t="inlineStr">
        <is>
          <t>Programme listed; intake dates unconfirmed</t>
        </is>
      </c>
      <c r="Y7" s="2" t="inlineStr">
        <is>
          <t>Submit one climate use case with baseline-to-outcome measurement and pilot design.</t>
        </is>
      </c>
      <c r="Z7" s="2" t="inlineStr">
        <is>
          <t>Not contacted</t>
        </is>
      </c>
      <c r="AA7" s="2" t="inlineStr">
        <is>
          <t>Senthil + Dr. Vijendran (proposed)</t>
        </is>
      </c>
    </row>
    <row r="8" ht="78" customHeight="1">
      <c r="A8" s="2" t="inlineStr">
        <is>
          <t>CC-007</t>
        </is>
      </c>
      <c r="B8" s="2" t="inlineStr">
        <is>
          <t>Meris</t>
        </is>
      </c>
      <c r="C8" s="2" t="inlineStr">
        <is>
          <t>Capital Cortex</t>
        </is>
      </c>
      <c r="D8" s="2" t="inlineStr">
        <is>
          <t>USA</t>
        </is>
      </c>
      <c r="E8" s="2" t="n">
        <v>1</v>
      </c>
      <c r="F8" s="2" t="n">
        <v>7</v>
      </c>
      <c r="G8" s="2" t="inlineStr">
        <is>
          <t>Clean Energy Venture Group</t>
        </is>
      </c>
      <c r="H8" s="2" t="inlineStr">
        <is>
          <t>Angel / VC</t>
        </is>
      </c>
      <c r="I8" s="2" t="inlineStr">
        <is>
          <t>Equity</t>
        </is>
      </c>
      <c r="J8" s="2" t="inlineStr">
        <is>
          <t>Energy / industrial / buildings</t>
        </is>
      </c>
      <c r="K8" s="2" t="inlineStr">
        <is>
          <t>Pre-seed / seed</t>
        </is>
      </c>
      <c r="L8" s="2" t="inlineStr">
        <is>
          <t>Technical defensibility and climate impact; US commercial plan needed.</t>
        </is>
      </c>
      <c r="M8" s="2" t="inlineStr">
        <is>
          <t>Contact now</t>
        </is>
      </c>
      <c r="N8" s="2" t="inlineStr">
        <is>
          <t>Medium</t>
        </is>
      </c>
      <c r="O8" s="2" t="inlineStr">
        <is>
          <t>Low to medium / competitive</t>
        </is>
      </c>
      <c r="P8" s="2" t="n">
        <v>5</v>
      </c>
      <c r="Q8" s="2" t="n">
        <v>3</v>
      </c>
      <c r="R8" s="2" t="n">
        <v>3</v>
      </c>
      <c r="S8" s="2" t="n">
        <v>80</v>
      </c>
      <c r="T8" s="2" t="inlineStr">
        <is>
          <t>Investment team via Apply portal</t>
        </is>
      </c>
      <c r="U8" s="3" t="inlineStr">
        <is>
          <t>https://cevg.com/apply/</t>
        </is>
      </c>
      <c r="V8" s="3" t="inlineStr">
        <is>
          <t>https://cleanenergyventures.com/working-with-us</t>
        </is>
      </c>
      <c r="W8" s="2" t="inlineStr">
        <is>
          <t>2026-10-06</t>
        </is>
      </c>
      <c r="X8" s="2" t="inlineStr">
        <is>
          <t>Submission portal live</t>
        </is>
      </c>
      <c r="Y8" s="2" t="inlineStr">
        <is>
          <t>Pitch first pilot financing for energy anomaly detection and predictive maintenance.</t>
        </is>
      </c>
      <c r="Z8" s="2" t="inlineStr">
        <is>
          <t>Not contacted</t>
        </is>
      </c>
      <c r="AA8" s="2" t="inlineStr">
        <is>
          <t>Senthil + Dr. Vijendran (proposed)</t>
        </is>
      </c>
    </row>
    <row r="9" ht="78" customHeight="1">
      <c r="A9" s="2" t="inlineStr">
        <is>
          <t>CC-008</t>
        </is>
      </c>
      <c r="B9" s="2" t="inlineStr">
        <is>
          <t>Meris</t>
        </is>
      </c>
      <c r="C9" s="2" t="inlineStr">
        <is>
          <t>Capital Cortex</t>
        </is>
      </c>
      <c r="D9" s="2" t="inlineStr">
        <is>
          <t>USA</t>
        </is>
      </c>
      <c r="E9" s="2" t="n">
        <v>1</v>
      </c>
      <c r="F9" s="2" t="n">
        <v>8</v>
      </c>
      <c r="G9" s="2" t="inlineStr">
        <is>
          <t>Congruent Ventures</t>
        </is>
      </c>
      <c r="H9" s="2" t="inlineStr">
        <is>
          <t>VC</t>
        </is>
      </c>
      <c r="I9" s="2" t="inlineStr">
        <is>
          <t>Equity</t>
        </is>
      </c>
      <c r="J9" s="2" t="inlineStr">
        <is>
          <t>Climate / buildings / industrial / agriculture</t>
        </is>
      </c>
      <c r="K9" s="2" t="inlineStr">
        <is>
          <t>Early-stage</t>
        </is>
      </c>
      <c r="L9" s="2" t="inlineStr">
        <is>
          <t>North America commercial relevance and venture-scale climate thesis.</t>
        </is>
      </c>
      <c r="M9" s="2" t="inlineStr">
        <is>
          <t>Contact now</t>
        </is>
      </c>
      <c r="N9" s="2" t="inlineStr">
        <is>
          <t>Medium</t>
        </is>
      </c>
      <c r="O9" s="2" t="inlineStr">
        <is>
          <t>Low to medium / competitive</t>
        </is>
      </c>
      <c r="P9" s="2" t="n">
        <v>5</v>
      </c>
      <c r="Q9" s="2" t="n">
        <v>3</v>
      </c>
      <c r="R9" s="2" t="n">
        <v>3</v>
      </c>
      <c r="S9" s="2" t="n">
        <v>80</v>
      </c>
      <c r="T9" s="2" t="inlineStr">
        <is>
          <t>investors@congruentvc.com</t>
        </is>
      </c>
      <c r="U9" s="3" t="inlineStr">
        <is>
          <t>https://www.congruentvc.com/thinking</t>
        </is>
      </c>
      <c r="V9" s="3" t="inlineStr">
        <is>
          <t>https://www.congruentvc.com/</t>
        </is>
      </c>
      <c r="W9" s="2" t="inlineStr">
        <is>
          <t>2026-10-06</t>
        </is>
      </c>
      <c r="X9" s="2" t="inlineStr">
        <is>
          <t>Public investor channel listed</t>
        </is>
      </c>
      <c r="Y9" s="2" t="inlineStr">
        <is>
          <t>Request seed screening with a focused CK/ESG wedge and 90-day pilot milestones.</t>
        </is>
      </c>
      <c r="Z9" s="2" t="inlineStr">
        <is>
          <t>Not contacted</t>
        </is>
      </c>
      <c r="AA9" s="2" t="inlineStr">
        <is>
          <t>Senthil + Dr. Vijendran (proposed)</t>
        </is>
      </c>
    </row>
    <row r="10" ht="78" customHeight="1">
      <c r="A10" s="2" t="inlineStr">
        <is>
          <t>CC-009</t>
        </is>
      </c>
      <c r="B10" s="2" t="inlineStr">
        <is>
          <t>Meris</t>
        </is>
      </c>
      <c r="C10" s="2" t="inlineStr">
        <is>
          <t>Capital Cortex</t>
        </is>
      </c>
      <c r="D10" s="2" t="inlineStr">
        <is>
          <t>USA</t>
        </is>
      </c>
      <c r="E10" s="2" t="n">
        <v>1</v>
      </c>
      <c r="F10" s="2" t="n">
        <v>9</v>
      </c>
      <c r="G10" s="2" t="inlineStr">
        <is>
          <t>Elemental Impact</t>
        </is>
      </c>
      <c r="H10" s="2" t="inlineStr">
        <is>
          <t>Catalytic investment</t>
        </is>
      </c>
      <c r="I10" s="2" t="inlineStr">
        <is>
          <t>Investment; terms vary by track</t>
        </is>
      </c>
      <c r="J10" s="2" t="inlineStr">
        <is>
          <t>Buildings / industry / water / agriculture / data centers</t>
        </is>
      </c>
      <c r="K10" s="2" t="inlineStr">
        <is>
          <t>Pre-seed through later rounds</t>
        </is>
      </c>
      <c r="L10" s="2" t="inlineStr">
        <is>
          <t>Select Strategy track for current stage; verify full-time team expectations; contractors may not qualify.</t>
        </is>
      </c>
      <c r="M10" s="2" t="inlineStr">
        <is>
          <t>Contact now</t>
        </is>
      </c>
      <c r="N10" s="2" t="inlineStr">
        <is>
          <t>Medium</t>
        </is>
      </c>
      <c r="O10" s="2" t="inlineStr">
        <is>
          <t>Low to medium / competitive</t>
        </is>
      </c>
      <c r="P10" s="2" t="n">
        <v>5</v>
      </c>
      <c r="Q10" s="2" t="n">
        <v>3</v>
      </c>
      <c r="R10" s="2" t="n">
        <v>3</v>
      </c>
      <c r="S10" s="2" t="n">
        <v>80</v>
      </c>
      <c r="T10" s="2" t="inlineStr">
        <is>
          <t>apply@elementalimpact.com</t>
        </is>
      </c>
      <c r="U10" s="3" t="inlineStr">
        <is>
          <t>https://elementalimpact.com/funding-opportunities/apply/</t>
        </is>
      </c>
      <c r="V10" s="3" t="inlineStr">
        <is>
          <t>https://elementalimpact.com/funding-opportunities/apply/</t>
        </is>
      </c>
      <c r="W10" s="2" t="inlineStr">
        <is>
          <t>2026-10-06</t>
        </is>
      </c>
      <c r="X10" s="2" t="inlineStr">
        <is>
          <t>Apply route listed; current allocation unconfirmed</t>
        </is>
      </c>
      <c r="Y10" s="2" t="inlineStr">
        <is>
          <t>Ask Strategy track fit for a pre-revenue, consultant-led team before full application.</t>
        </is>
      </c>
      <c r="Z10" s="2" t="inlineStr">
        <is>
          <t>Not contacted</t>
        </is>
      </c>
      <c r="AA10" s="2" t="inlineStr">
        <is>
          <t>Senthil + Dr. Vijendran (proposed)</t>
        </is>
      </c>
    </row>
    <row r="11" ht="78" customHeight="1">
      <c r="A11" s="2" t="inlineStr">
        <is>
          <t>CC-010</t>
        </is>
      </c>
      <c r="B11" s="2" t="inlineStr">
        <is>
          <t>Meris</t>
        </is>
      </c>
      <c r="C11" s="2" t="inlineStr">
        <is>
          <t>Capital Cortex</t>
        </is>
      </c>
      <c r="D11" s="2" t="inlineStr">
        <is>
          <t>USA</t>
        </is>
      </c>
      <c r="E11" s="2" t="n">
        <v>1</v>
      </c>
      <c r="F11" s="2" t="n">
        <v>10</v>
      </c>
      <c r="G11" s="2" t="inlineStr">
        <is>
          <t>Cleantech Open</t>
        </is>
      </c>
      <c r="H11" s="2" t="inlineStr">
        <is>
          <t>Accelerator</t>
        </is>
      </c>
      <c r="I11" s="2" t="inlineStr">
        <is>
          <t>Mentoring / competition; not guaranteed grant</t>
        </is>
      </c>
      <c r="J11" s="2" t="inlineStr">
        <is>
          <t>Energy / buildings / industrial</t>
        </is>
      </c>
      <c r="K11" s="2" t="inlineStr">
        <is>
          <t>Early-stage teams</t>
        </is>
      </c>
      <c r="L11" s="2" t="inlineStr">
        <is>
          <t>Check next cohort dates, participation fees and geographic track.</t>
        </is>
      </c>
      <c r="M11" s="2" t="inlineStr">
        <is>
          <t>Contact now</t>
        </is>
      </c>
      <c r="N11" s="2" t="inlineStr">
        <is>
          <t>High</t>
        </is>
      </c>
      <c r="O11" s="2" t="inlineStr">
        <is>
          <t>No direct cash confirmed</t>
        </is>
      </c>
      <c r="P11" s="2" t="n">
        <v>4</v>
      </c>
      <c r="Q11" s="2" t="n">
        <v>4</v>
      </c>
      <c r="R11" s="2" t="n">
        <v>4</v>
      </c>
      <c r="S11" s="2" t="n">
        <v>80</v>
      </c>
      <c r="T11" s="2" t="inlineStr">
        <is>
          <t>contact@cleantechopen.org</t>
        </is>
      </c>
      <c r="U11" s="3" t="inlineStr">
        <is>
          <t>https://www.cleantechopen.org/en/page/2026-cto-accelerator-en</t>
        </is>
      </c>
      <c r="V11" s="3" t="inlineStr">
        <is>
          <t>https://www.cleantechopen.org/en/page/2026-cto-accelerator-en</t>
        </is>
      </c>
      <c r="W11" s="2" t="inlineStr">
        <is>
          <t>2026-10-06</t>
        </is>
      </c>
      <c r="X11" s="2" t="inlineStr">
        <is>
          <t>2026 programme page; next intake unconfirmed</t>
        </is>
      </c>
      <c r="Y11" s="2" t="inlineStr">
        <is>
          <t>Request next cohort and Northeast mentor introductions; lead with quantified conservation.</t>
        </is>
      </c>
      <c r="Z11" s="2" t="inlineStr">
        <is>
          <t>Not contacted</t>
        </is>
      </c>
      <c r="AA11" s="2" t="inlineStr">
        <is>
          <t>Senthil + Dr. Vijendran (proposed)</t>
        </is>
      </c>
    </row>
    <row r="12" ht="78" customHeight="1">
      <c r="A12" s="2" t="inlineStr">
        <is>
          <t>CC-011</t>
        </is>
      </c>
      <c r="B12" s="2" t="inlineStr">
        <is>
          <t>Meris</t>
        </is>
      </c>
      <c r="C12" s="2" t="inlineStr">
        <is>
          <t>Capital Cortex</t>
        </is>
      </c>
      <c r="D12" s="2" t="inlineStr">
        <is>
          <t>USA</t>
        </is>
      </c>
      <c r="E12" s="2" t="n">
        <v>1</v>
      </c>
      <c r="F12" s="2" t="n">
        <v>11</v>
      </c>
      <c r="G12" s="2" t="inlineStr">
        <is>
          <t>NJIT industry research</t>
        </is>
      </c>
      <c r="H12" s="2" t="inlineStr">
        <is>
          <t>Academia</t>
        </is>
      </c>
      <c r="I12" s="2" t="inlineStr">
        <is>
          <t>Joint research / licensing / validation</t>
        </is>
      </c>
      <c r="J12" s="2" t="inlineStr">
        <is>
          <t>AI / IoT / buildings / healthcare</t>
        </is>
      </c>
      <c r="K12" s="2" t="inlineStr">
        <is>
          <t>Industry partnership; not a seed investment</t>
        </is>
      </c>
      <c r="L12" s="2" t="inlineStr">
        <is>
          <t>Agree faculty scope, budget, IP and data terms.</t>
        </is>
      </c>
      <c r="M12" s="2" t="inlineStr">
        <is>
          <t>Contact now</t>
        </is>
      </c>
      <c r="N12" s="2" t="inlineStr">
        <is>
          <t>High</t>
        </is>
      </c>
      <c r="O12" s="2" t="inlineStr">
        <is>
          <t>No direct cash confirmed</t>
        </is>
      </c>
      <c r="P12" s="2" t="n">
        <v>4</v>
      </c>
      <c r="Q12" s="2" t="n">
        <v>4</v>
      </c>
      <c r="R12" s="2" t="n">
        <v>4</v>
      </c>
      <c r="S12" s="2" t="n">
        <v>80</v>
      </c>
      <c r="T12" s="2" t="inlineStr">
        <is>
          <t>in49@njit.edu | +1 973-642-4301</t>
        </is>
      </c>
      <c r="U12" s="3" t="inlineStr">
        <is>
          <t>https://research.njit.edu/industry</t>
        </is>
      </c>
      <c r="V12" s="3" t="inlineStr">
        <is>
          <t>https://research.njit.edu/forindustry</t>
        </is>
      </c>
      <c r="W12" s="2" t="inlineStr">
        <is>
          <t>2026-10-06</t>
        </is>
      </c>
      <c r="X12" s="2" t="inlineStr">
        <is>
          <t>Industry contact published</t>
        </is>
      </c>
      <c r="Y12" s="2" t="inlineStr">
        <is>
          <t>Request research partner for sensor reliability and digital-twin verification.</t>
        </is>
      </c>
      <c r="Z12" s="2" t="inlineStr">
        <is>
          <t>Not contacted</t>
        </is>
      </c>
      <c r="AA12" s="2" t="inlineStr">
        <is>
          <t>Dr. Vijendran + Kumar (proposed)</t>
        </is>
      </c>
    </row>
    <row r="13" ht="78" customHeight="1">
      <c r="A13" s="2" t="inlineStr">
        <is>
          <t>CC-012</t>
        </is>
      </c>
      <c r="B13" s="2" t="inlineStr">
        <is>
          <t>Meris</t>
        </is>
      </c>
      <c r="C13" s="2" t="inlineStr">
        <is>
          <t>Capital Cortex</t>
        </is>
      </c>
      <c r="D13" s="2" t="inlineStr">
        <is>
          <t>USA</t>
        </is>
      </c>
      <c r="E13" s="2" t="n">
        <v>1</v>
      </c>
      <c r="F13" s="2" t="n">
        <v>12</v>
      </c>
      <c r="G13" s="2" t="inlineStr">
        <is>
          <t>Digital Twin Consortium</t>
        </is>
      </c>
      <c r="H13" s="2" t="inlineStr">
        <is>
          <t>Industry consortium</t>
        </is>
      </c>
      <c r="I13" s="2" t="inlineStr">
        <is>
          <t>Technical ecosystem / partner pilots</t>
        </is>
      </c>
      <c r="J13" s="2" t="inlineStr">
        <is>
          <t>Industry / buildings / data centers</t>
        </is>
      </c>
      <c r="K13" s="2" t="inlineStr">
        <is>
          <t>Membership open to organizations</t>
        </is>
      </c>
      <c r="L13" s="2" t="inlineStr">
        <is>
          <t>Membership fees; require clear technical contribution. IIC now integrated into DTC.</t>
        </is>
      </c>
      <c r="M13" s="2" t="inlineStr">
        <is>
          <t>Contact now</t>
        </is>
      </c>
      <c r="N13" s="2" t="inlineStr">
        <is>
          <t>High</t>
        </is>
      </c>
      <c r="O13" s="2" t="inlineStr">
        <is>
          <t>No direct cash confirmed</t>
        </is>
      </c>
      <c r="P13" s="2" t="n">
        <v>4</v>
      </c>
      <c r="Q13" s="2" t="n">
        <v>4</v>
      </c>
      <c r="R13" s="2" t="n">
        <v>4</v>
      </c>
      <c r="S13" s="2" t="n">
        <v>80</v>
      </c>
      <c r="T13" s="2" t="inlineStr">
        <is>
          <t>info@digitaltwinconsortium.org | +1 781-444-0404</t>
        </is>
      </c>
      <c r="U13" s="3" t="inlineStr">
        <is>
          <t>https://www.digitaltwinconsortium.org/contact-us/</t>
        </is>
      </c>
      <c r="V13" s="3" t="inlineStr">
        <is>
          <t>https://www.digitaltwinconsortium.org/dtcmembersearch/</t>
        </is>
      </c>
      <c r="W13" s="2" t="inlineStr">
        <is>
          <t>2026-10-06</t>
        </is>
      </c>
      <c r="X13" s="2" t="inlineStr">
        <is>
          <t>Membership inquiry route live</t>
        </is>
      </c>
      <c r="Y13" s="2" t="inlineStr">
        <is>
          <t>Ask startup membership terms and energy/buildings testbed collaboration.</t>
        </is>
      </c>
      <c r="Z13" s="2" t="inlineStr">
        <is>
          <t>Not contacted</t>
        </is>
      </c>
      <c r="AA13" s="2" t="inlineStr">
        <is>
          <t>Senthil + Balaji + Surya (proposed)</t>
        </is>
      </c>
    </row>
    <row r="14" ht="78" customHeight="1">
      <c r="A14" s="2" t="inlineStr">
        <is>
          <t>CC-013</t>
        </is>
      </c>
      <c r="B14" s="2" t="inlineStr">
        <is>
          <t>Meris</t>
        </is>
      </c>
      <c r="C14" s="2" t="inlineStr">
        <is>
          <t>Capital Cortex</t>
        </is>
      </c>
      <c r="D14" s="2" t="inlineStr">
        <is>
          <t>USA</t>
        </is>
      </c>
      <c r="E14" s="2" t="n">
        <v>1</v>
      </c>
      <c r="F14" s="2" t="n">
        <v>13</v>
      </c>
      <c r="G14" s="2" t="inlineStr">
        <is>
          <t>NJ CSIT Clean Tech R&amp;D Voucher</t>
        </is>
      </c>
      <c r="H14" s="2" t="inlineStr">
        <is>
          <t>Government grant / voucher</t>
        </is>
      </c>
      <c r="I14" s="2" t="inlineStr">
        <is>
          <t>Restricted R&amp;D facility voucher</t>
        </is>
      </c>
      <c r="J14" s="2" t="inlineStr">
        <is>
          <t>Energy / green buildings / water / agriculture</t>
        </is>
      </c>
      <c r="K14" s="2" t="inlineStr">
        <is>
          <t>Early-stage; revenue cap</t>
        </is>
      </c>
      <c r="L14" s="2" t="inlineStr">
        <is>
          <t>50%+ cumulative work hours in NJ, including contractors; one full-time worker; tax clearance. India-based delivery suggests likely current mismatch.</t>
        </is>
      </c>
      <c r="M14" s="2" t="inlineStr">
        <is>
          <t>Eligibility gate first</t>
        </is>
      </c>
      <c r="N14" s="2" t="inlineStr">
        <is>
          <t>Very low</t>
        </is>
      </c>
      <c r="O14" s="2" t="inlineStr">
        <is>
          <t>No unrestricted cash</t>
        </is>
      </c>
      <c r="P14" s="2" t="n">
        <v>5</v>
      </c>
      <c r="Q14" s="2" t="n">
        <v>1</v>
      </c>
      <c r="R14" s="2" t="n">
        <v>2</v>
      </c>
      <c r="S14" s="2" t="n">
        <v>64</v>
      </c>
      <c r="T14" s="2" t="inlineStr">
        <is>
          <t>csitvoucher@njcsit.gov</t>
        </is>
      </c>
      <c r="U14" s="3" t="inlineStr">
        <is>
          <t>https://www.njcsit.gov/clean-tech-research-and-development-rd-voucher-program-round-3/</t>
        </is>
      </c>
      <c r="V14" s="3" t="inlineStr">
        <is>
          <t>https://www.njcsit.gov/clean-tech-research-and-development-rd-voucher-program-round-3/</t>
        </is>
      </c>
      <c r="W14" s="2" t="inlineStr">
        <is>
          <t>2026-10-06</t>
        </is>
      </c>
      <c r="X14" s="2" t="inlineStr">
        <is>
          <t>Official page states applications open</t>
        </is>
      </c>
      <c r="Y14" s="2" t="inlineStr">
        <is>
          <t>Seek written eligibility screening before preparing application.</t>
        </is>
      </c>
      <c r="Z14" s="2" t="inlineStr">
        <is>
          <t>Not contacted</t>
        </is>
      </c>
      <c r="AA14" s="2" t="inlineStr">
        <is>
          <t>Senthil + Dr. Vijendran (proposed)</t>
        </is>
      </c>
    </row>
    <row r="15" ht="78" customHeight="1">
      <c r="A15" s="2" t="inlineStr">
        <is>
          <t>CC-014</t>
        </is>
      </c>
      <c r="B15" s="2" t="inlineStr">
        <is>
          <t>Meris</t>
        </is>
      </c>
      <c r="C15" s="2" t="inlineStr">
        <is>
          <t>Capital Cortex</t>
        </is>
      </c>
      <c r="D15" s="2" t="inlineStr">
        <is>
          <t>USA</t>
        </is>
      </c>
      <c r="E15" s="2" t="n">
        <v>1</v>
      </c>
      <c r="F15" s="2" t="n">
        <v>14</v>
      </c>
      <c r="G15" s="2" t="inlineStr">
        <is>
          <t>NJ CSIT Clean Tech Seed Grant</t>
        </is>
      </c>
      <c r="H15" s="2" t="inlineStr">
        <is>
          <t>Government grant</t>
        </is>
      </c>
      <c r="I15" s="2" t="inlineStr">
        <is>
          <t>Restricted R&amp;D grant</t>
        </is>
      </c>
      <c r="J15" s="2" t="inlineStr">
        <is>
          <t>Clean energy / climate</t>
        </is>
      </c>
      <c r="K15" s="2" t="inlineStr">
        <is>
          <t>Early-stage programme</t>
        </is>
      </c>
      <c r="L15" s="2" t="inlineStr">
        <is>
          <t>NJ operational eligibility needs current-round verification; NJ incorporation alone insufficient.</t>
        </is>
      </c>
      <c r="M15" s="2" t="inlineStr">
        <is>
          <t>Watch next intake</t>
        </is>
      </c>
      <c r="N15" s="2" t="inlineStr">
        <is>
          <t>Very low</t>
        </is>
      </c>
      <c r="O15" s="2" t="inlineStr">
        <is>
          <t>Very low until gates cleared</t>
        </is>
      </c>
      <c r="P15" s="2" t="n">
        <v>5</v>
      </c>
      <c r="Q15" s="2" t="n">
        <v>1</v>
      </c>
      <c r="R15" s="2" t="n">
        <v>2</v>
      </c>
      <c r="S15" s="2" t="n">
        <v>64</v>
      </c>
      <c r="T15" s="2" t="inlineStr">
        <is>
          <t>csitcleantech@njcsit.gov</t>
        </is>
      </c>
      <c r="U15" s="3" t="inlineStr">
        <is>
          <t>https://www.njcsit.gov/</t>
        </is>
      </c>
      <c r="V15" s="3" t="inlineStr">
        <is>
          <t>https://www.njeda.gov/wp-content/uploads/2025/06/NJEDA-Clean-Energy-Newsletter-Q2-2025.pdf</t>
        </is>
      </c>
      <c r="W15" s="2" t="inlineStr">
        <is>
          <t>2026-10-06</t>
        </is>
      </c>
      <c r="X15" s="2" t="inlineStr">
        <is>
          <t>Round 4 deadline July 11 2025 passed; next round unverified</t>
        </is>
      </c>
      <c r="Y15" s="2" t="inlineStr">
        <is>
          <t>Ask next round timing and NJ operating requirements; do not treat as open.</t>
        </is>
      </c>
      <c r="Z15" s="2" t="inlineStr">
        <is>
          <t>Not contacted</t>
        </is>
      </c>
      <c r="AA15" s="2" t="inlineStr">
        <is>
          <t>Senthil + Dr. Vijendran (proposed)</t>
        </is>
      </c>
    </row>
    <row r="16" ht="78" customHeight="1">
      <c r="A16" s="2" t="inlineStr">
        <is>
          <t>CC-015</t>
        </is>
      </c>
      <c r="B16" s="2" t="inlineStr">
        <is>
          <t>Meris</t>
        </is>
      </c>
      <c r="C16" s="2" t="inlineStr">
        <is>
          <t>Capital Cortex</t>
        </is>
      </c>
      <c r="D16" s="2" t="inlineStr">
        <is>
          <t>USA</t>
        </is>
      </c>
      <c r="E16" s="2" t="n">
        <v>1</v>
      </c>
      <c r="F16" s="2" t="n">
        <v>15</v>
      </c>
      <c r="G16" s="2" t="inlineStr">
        <is>
          <t>NSF America's Seed Fund</t>
        </is>
      </c>
      <c r="H16" s="2" t="inlineStr">
        <is>
          <t>Government grant</t>
        </is>
      </c>
      <c r="I16" s="2" t="inlineStr">
        <is>
          <t>SBIR / STTR R&amp;D grant</t>
        </is>
      </c>
      <c r="J16" s="2" t="inlineStr">
        <is>
          <t>Deep AI / sensor technology / industrial</t>
        </is>
      </c>
      <c r="K16" s="2" t="inlineStr">
        <is>
          <t>Pre-revenue possible; high-risk R&amp;D</t>
        </is>
      </c>
      <c r="L16" s="2" t="inlineStr">
        <is>
          <t>US ownership/control, PI employment and domestic R&amp;D requirements; founder 40% alone does not prove majority eligibility; offshore team is material gate.</t>
        </is>
      </c>
      <c r="M16" s="2" t="inlineStr">
        <is>
          <t>Eligibility gate first</t>
        </is>
      </c>
      <c r="N16" s="2" t="inlineStr">
        <is>
          <t>Very low</t>
        </is>
      </c>
      <c r="O16" s="2" t="inlineStr">
        <is>
          <t>Very low until gates cleared</t>
        </is>
      </c>
      <c r="P16" s="2" t="n">
        <v>5</v>
      </c>
      <c r="Q16" s="2" t="n">
        <v>1</v>
      </c>
      <c r="R16" s="2" t="n">
        <v>2</v>
      </c>
      <c r="S16" s="2" t="n">
        <v>64</v>
      </c>
      <c r="T16" s="2" t="inlineStr">
        <is>
          <t>Project Pitch portal / programme team</t>
        </is>
      </c>
      <c r="U16" s="3" t="inlineStr">
        <is>
          <t>https://seedfund.nsf.gov/apply/</t>
        </is>
      </c>
      <c r="V16" s="3" t="inlineStr">
        <is>
          <t>https://seedfund.nsf.gov/solicitation-eligibility/</t>
        </is>
      </c>
      <c r="W16" s="2" t="inlineStr">
        <is>
          <t>2026-10-06</t>
        </is>
      </c>
      <c r="X16" s="2" t="inlineStr">
        <is>
          <t>2026 relaunch official; confirm live solicitation deadline</t>
        </is>
      </c>
      <c r="Y16" s="2" t="inlineStr">
        <is>
          <t>Screen cap table, US R&amp;D and technical novelty before any Project Pitch.</t>
        </is>
      </c>
      <c r="Z16" s="2" t="inlineStr">
        <is>
          <t>Not contacted</t>
        </is>
      </c>
      <c r="AA16" s="2" t="inlineStr">
        <is>
          <t>Senthil + Dr. Vijendran (proposed)</t>
        </is>
      </c>
    </row>
    <row r="17" ht="78" customHeight="1">
      <c r="A17" s="2" t="inlineStr">
        <is>
          <t>CC-016</t>
        </is>
      </c>
      <c r="B17" s="2" t="inlineStr">
        <is>
          <t>Meris</t>
        </is>
      </c>
      <c r="C17" s="2" t="inlineStr">
        <is>
          <t>Capital Cortex</t>
        </is>
      </c>
      <c r="D17" s="2" t="inlineStr">
        <is>
          <t>USA</t>
        </is>
      </c>
      <c r="E17" s="2" t="n">
        <v>1</v>
      </c>
      <c r="F17" s="2" t="n">
        <v>16</v>
      </c>
      <c r="G17" s="2" t="inlineStr">
        <is>
          <t>DOE SBIR / STTR</t>
        </is>
      </c>
      <c r="H17" s="2" t="inlineStr">
        <is>
          <t>Government grant</t>
        </is>
      </c>
      <c r="I17" s="2" t="inlineStr">
        <is>
          <t>Topic-specific R&amp;D grant</t>
        </is>
      </c>
      <c r="J17" s="2" t="inlineStr">
        <is>
          <t>Energy / utilities / industrial efficiency</t>
        </is>
      </c>
      <c r="K17" s="2" t="inlineStr">
        <is>
          <t>Phase I candidates; topic dependent</t>
        </is>
      </c>
      <c r="L17" s="2" t="inlineStr">
        <is>
          <t>US ownership/control and domestic R&amp;D; Phase II listings are not first-time Phase I opportunities.</t>
        </is>
      </c>
      <c r="M17" s="2" t="inlineStr">
        <is>
          <t>Eligibility gate first</t>
        </is>
      </c>
      <c r="N17" s="2" t="inlineStr">
        <is>
          <t>Very low</t>
        </is>
      </c>
      <c r="O17" s="2" t="inlineStr">
        <is>
          <t>Very low until gates cleared</t>
        </is>
      </c>
      <c r="P17" s="2" t="n">
        <v>5</v>
      </c>
      <c r="Q17" s="2" t="n">
        <v>1</v>
      </c>
      <c r="R17" s="2" t="n">
        <v>2</v>
      </c>
      <c r="S17" s="2" t="n">
        <v>64</v>
      </c>
      <c r="T17" s="2" t="inlineStr">
        <is>
          <t>DOE SBIR programme via official page</t>
        </is>
      </c>
      <c r="U17" s="3" t="inlineStr">
        <is>
          <t>https://www.energy.gov/technologycommercialization/doe-small-business-innovation-research-sbir-and-small-business</t>
        </is>
      </c>
      <c r="V17" s="3" t="inlineStr">
        <is>
          <t>https://www.energy.gov/technologycommercialization/doe-small-business-innovation-research-sbir-and-small-business</t>
        </is>
      </c>
      <c r="W17" s="2" t="inlineStr">
        <is>
          <t>2026-10-06</t>
        </is>
      </c>
      <c r="X17" s="2" t="inlineStr">
        <is>
          <t>Official programme active; relevant Phase I call unverified</t>
        </is>
      </c>
      <c r="Y17" s="2" t="inlineStr">
        <is>
          <t>Request topic-fit guidance for conservation AIoT; resolve ownership and domestic work first.</t>
        </is>
      </c>
      <c r="Z17" s="2" t="inlineStr">
        <is>
          <t>Not contacted</t>
        </is>
      </c>
      <c r="AA17" s="2" t="inlineStr">
        <is>
          <t>Senthil + Dr. Vijendran (proposed)</t>
        </is>
      </c>
    </row>
    <row r="18" ht="78" customHeight="1">
      <c r="A18" s="2" t="inlineStr">
        <is>
          <t>CC-017</t>
        </is>
      </c>
      <c r="B18" s="2" t="inlineStr">
        <is>
          <t>Meris</t>
        </is>
      </c>
      <c r="C18" s="2" t="inlineStr">
        <is>
          <t>Capital Cortex</t>
        </is>
      </c>
      <c r="D18" s="2" t="inlineStr">
        <is>
          <t>USA</t>
        </is>
      </c>
      <c r="E18" s="2" t="n">
        <v>1</v>
      </c>
      <c r="F18" s="2" t="n">
        <v>17</v>
      </c>
      <c r="G18" s="2" t="inlineStr">
        <is>
          <t>Amazon Sustainability Accelerator Climate Tech</t>
        </is>
      </c>
      <c r="H18" s="2" t="inlineStr">
        <is>
          <t>Corporate accelerator</t>
        </is>
      </c>
      <c r="I18" s="2" t="inlineStr">
        <is>
          <t>Pilots / credits / limited expense support</t>
        </is>
      </c>
      <c r="J18" s="2" t="inlineStr">
        <is>
          <t>Water / AQ / ecological monitoring</t>
        </is>
      </c>
      <c r="K18" s="2" t="inlineStr">
        <is>
          <t>Prototype / pilot-ready</t>
        </is>
      </c>
      <c r="L18" s="2" t="inlineStr">
        <is>
          <t>European programme scope; 2026 ecological focus; geographic fit must be screened.</t>
        </is>
      </c>
      <c r="M18" s="2" t="inlineStr">
        <is>
          <t>Watch next intake</t>
        </is>
      </c>
      <c r="N18" s="2" t="inlineStr">
        <is>
          <t>Very low</t>
        </is>
      </c>
      <c r="O18" s="2" t="inlineStr">
        <is>
          <t>No direct cash confirmed</t>
        </is>
      </c>
      <c r="P18" s="2" t="n">
        <v>3</v>
      </c>
      <c r="Q18" s="2" t="n">
        <v>1</v>
      </c>
      <c r="R18" s="2" t="n">
        <v>2</v>
      </c>
      <c r="S18" s="2" t="n">
        <v>44</v>
      </c>
      <c r="T18" s="2" t="inlineStr">
        <is>
          <t>Programme team via official page</t>
        </is>
      </c>
      <c r="U18" s="3" t="inlineStr">
        <is>
          <t>https://sustainability.aboutamazon.com/sustainability-accelerator-climate-tech</t>
        </is>
      </c>
      <c r="V18" s="3" t="inlineStr">
        <is>
          <t>https://www.aboutamazon.eu/news/sustainability/sustainability-accelerator-climate-tech-programme-2026</t>
        </is>
      </c>
      <c r="W18" s="2" t="inlineStr">
        <is>
          <t>2026-10-06</t>
        </is>
      </c>
      <c r="X18" s="2" t="inlineStr">
        <is>
          <t>2026 applications closed July; cohort selected</t>
        </is>
      </c>
      <c r="Y18" s="2" t="inlineStr">
        <is>
          <t>Monitor next cycle; ask geographic eligibility. Do not book this as AWS grant revenue.</t>
        </is>
      </c>
      <c r="Z18" s="2" t="inlineStr">
        <is>
          <t>Not contacted</t>
        </is>
      </c>
      <c r="AA18" s="2" t="inlineStr">
        <is>
          <t>Senthil + Dr. Vijendran (proposed)</t>
        </is>
      </c>
    </row>
    <row r="19" ht="78" customHeight="1">
      <c r="A19" s="2" t="inlineStr">
        <is>
          <t>CC-018</t>
        </is>
      </c>
      <c r="B19" s="2" t="inlineStr">
        <is>
          <t>Meris</t>
        </is>
      </c>
      <c r="C19" s="2" t="inlineStr">
        <is>
          <t>Capital Cortex</t>
        </is>
      </c>
      <c r="D19" s="2" t="inlineStr">
        <is>
          <t>USA</t>
        </is>
      </c>
      <c r="E19" s="2" t="n">
        <v>1</v>
      </c>
      <c r="F19" s="2" t="n">
        <v>18</v>
      </c>
      <c r="G19" s="2" t="inlineStr">
        <is>
          <t>Vista Equity Partners</t>
        </is>
      </c>
      <c r="H19" s="2" t="inlineStr">
        <is>
          <t>PE</t>
        </is>
      </c>
      <c r="I19" s="2" t="inlineStr">
        <is>
          <t>Growth / buyout equity; portfolio commercial route</t>
        </is>
      </c>
      <c r="J19" s="2" t="inlineStr">
        <is>
          <t>Enterprise software / AI</t>
        </is>
      </c>
      <c r="K19" s="2" t="inlineStr">
        <is>
          <t>Current direct capital fit very low (analyst view)</t>
        </is>
      </c>
      <c r="L19" s="2" t="inlineStr">
        <is>
          <t>Mature software investment platform; no verified pre-revenue offer.</t>
        </is>
      </c>
      <c r="M19" s="2" t="inlineStr">
        <is>
          <t>Later / portfolio route</t>
        </is>
      </c>
      <c r="N19" s="2" t="inlineStr">
        <is>
          <t>Very low</t>
        </is>
      </c>
      <c r="O19" s="2" t="inlineStr">
        <is>
          <t>Very low / defer</t>
        </is>
      </c>
      <c r="P19" s="2" t="n">
        <v>3</v>
      </c>
      <c r="Q19" s="2" t="n">
        <v>1</v>
      </c>
      <c r="R19" s="2" t="n">
        <v>1</v>
      </c>
      <c r="S19" s="2" t="n">
        <v>40</v>
      </c>
      <c r="T19" s="2" t="inlineStr">
        <is>
          <t>Business inquiry via official contact page</t>
        </is>
      </c>
      <c r="U19" s="3" t="inlineStr">
        <is>
          <t>https://www.vistaequitypartners.com/contact/</t>
        </is>
      </c>
      <c r="V19" s="3" t="inlineStr">
        <is>
          <t>https://www.vistaequitypartners.com/private-equity/</t>
        </is>
      </c>
      <c r="W19" s="2" t="inlineStr">
        <is>
          <t>2026-10-06</t>
        </is>
      </c>
      <c r="X19" s="2" t="inlineStr">
        <is>
          <t>Official PE and contact pages</t>
        </is>
      </c>
      <c r="Y19" s="2" t="inlineStr">
        <is>
          <t>Defer direct raise; seek portfolio-company pilot or integration introduction.</t>
        </is>
      </c>
      <c r="Z19" s="2" t="inlineStr">
        <is>
          <t>Not contacted</t>
        </is>
      </c>
      <c r="AA19" s="2" t="inlineStr">
        <is>
          <t>Senthil + Dr. Vijendran (proposed)</t>
        </is>
      </c>
    </row>
    <row r="20" ht="78" customHeight="1">
      <c r="A20" s="2" t="inlineStr">
        <is>
          <t>CC-019</t>
        </is>
      </c>
      <c r="B20" s="2" t="inlineStr">
        <is>
          <t>Meris</t>
        </is>
      </c>
      <c r="C20" s="2" t="inlineStr">
        <is>
          <t>Capital Cortex</t>
        </is>
      </c>
      <c r="D20" s="2" t="inlineStr">
        <is>
          <t>UAE</t>
        </is>
      </c>
      <c r="E20" s="2" t="n">
        <v>2</v>
      </c>
      <c r="F20" s="2" t="n">
        <v>1</v>
      </c>
      <c r="G20" s="2" t="inlineStr">
        <is>
          <t>MBRIF Innovation Accelerator</t>
        </is>
      </c>
      <c r="H20" s="2" t="inlineStr">
        <is>
          <t>Government accelerator</t>
        </is>
      </c>
      <c r="I20" s="2" t="inlineStr">
        <is>
          <t>Non-equity services / market access</t>
        </is>
      </c>
      <c r="J20" s="2" t="inlineStr">
        <is>
          <t>Energy / water / health / technology</t>
        </is>
      </c>
      <c r="K20" s="2" t="inlineStr">
        <is>
          <t>Post-ideation / working prototype</t>
        </is>
      </c>
      <c r="L20" s="2" t="inlineStr">
        <is>
          <t>UAE operation or credible setup plan; verify current cohort.</t>
        </is>
      </c>
      <c r="M20" s="2" t="inlineStr">
        <is>
          <t>Contact now</t>
        </is>
      </c>
      <c r="N20" s="2" t="inlineStr">
        <is>
          <t>High</t>
        </is>
      </c>
      <c r="O20" s="2" t="inlineStr">
        <is>
          <t>No direct cash confirmed</t>
        </is>
      </c>
      <c r="P20" s="2" t="n">
        <v>5</v>
      </c>
      <c r="Q20" s="2" t="n">
        <v>4</v>
      </c>
      <c r="R20" s="2" t="n">
        <v>4</v>
      </c>
      <c r="S20" s="2" t="n">
        <v>90</v>
      </c>
      <c r="T20" s="2" t="inlineStr">
        <is>
          <t>contact@mbrif.mof.gov.ae</t>
        </is>
      </c>
      <c r="U20" s="3" t="inlineStr">
        <is>
          <t>https://mbrif.ae/faq-2/</t>
        </is>
      </c>
      <c r="V20" s="3" t="inlineStr">
        <is>
          <t>https://mbrif.ae/faq-2/</t>
        </is>
      </c>
      <c r="W20" s="2" t="inlineStr">
        <is>
          <t>2026-10-06</t>
        </is>
      </c>
      <c r="X20" s="2" t="inlineStr">
        <is>
          <t>Apply route listed; cohort cutoff unconfirmed</t>
        </is>
      </c>
      <c r="Y20" s="2" t="inlineStr">
        <is>
          <t>Ask current intake and energy/water pilot support using YesTechnik UAE entry plan.</t>
        </is>
      </c>
      <c r="Z20" s="2" t="inlineStr">
        <is>
          <t>Not contacted</t>
        </is>
      </c>
      <c r="AA20" s="2" t="inlineStr">
        <is>
          <t>Senthil + Dr. Vijendran (proposed)</t>
        </is>
      </c>
    </row>
    <row r="21" ht="78" customHeight="1">
      <c r="A21" s="2" t="inlineStr">
        <is>
          <t>CC-020</t>
        </is>
      </c>
      <c r="B21" s="2" t="inlineStr">
        <is>
          <t>Meris</t>
        </is>
      </c>
      <c r="C21" s="2" t="inlineStr">
        <is>
          <t>Capital Cortex</t>
        </is>
      </c>
      <c r="D21" s="2" t="inlineStr">
        <is>
          <t>UAE</t>
        </is>
      </c>
      <c r="E21" s="2" t="n">
        <v>2</v>
      </c>
      <c r="F21" s="2" t="n">
        <v>2</v>
      </c>
      <c r="G21" s="2" t="inlineStr">
        <is>
          <t>Emirates Green Building Council</t>
        </is>
      </c>
      <c r="H21" s="2" t="inlineStr">
        <is>
          <t>Industry consortium</t>
        </is>
      </c>
      <c r="I21" s="2" t="inlineStr">
        <is>
          <t>Retrofit / hospitality network; no direct grant</t>
        </is>
      </c>
      <c r="J21" s="2" t="inlineStr">
        <is>
          <t>Hospitality / commercial / residential</t>
        </is>
      </c>
      <c r="K21" s="2" t="inlineStr">
        <is>
          <t>Supplier membership access</t>
        </is>
      </c>
      <c r="L21" s="2" t="inlineStr">
        <is>
          <t>Membership fees; programme participation not funding approval.</t>
        </is>
      </c>
      <c r="M21" s="2" t="inlineStr">
        <is>
          <t>Contact now</t>
        </is>
      </c>
      <c r="N21" s="2" t="inlineStr">
        <is>
          <t>High</t>
        </is>
      </c>
      <c r="O21" s="2" t="inlineStr">
        <is>
          <t>No direct cash confirmed</t>
        </is>
      </c>
      <c r="P21" s="2" t="n">
        <v>5</v>
      </c>
      <c r="Q21" s="2" t="n">
        <v>4</v>
      </c>
      <c r="R21" s="2" t="n">
        <v>4</v>
      </c>
      <c r="S21" s="2" t="n">
        <v>90</v>
      </c>
      <c r="T21" s="2" t="inlineStr">
        <is>
          <t>EEP / membership team through contact page</t>
        </is>
      </c>
      <c r="U21" s="3" t="inlineStr">
        <is>
          <t>https://emiratesgbc.org/contact-us/</t>
        </is>
      </c>
      <c r="V21" s="3" t="inlineStr">
        <is>
          <t>https://emiratesgbc.org/energy-efficiency-program/</t>
        </is>
      </c>
      <c r="W21" s="2" t="inlineStr">
        <is>
          <t>2026-10-06</t>
        </is>
      </c>
      <c r="X21" s="2" t="inlineStr">
        <is>
          <t>EEP and membership pages live</t>
        </is>
      </c>
      <c r="Y21" s="2" t="inlineStr">
        <is>
          <t>Request hotel/building owner introductions for measured energy, comfort and AQ pilot.</t>
        </is>
      </c>
      <c r="Z21" s="2" t="inlineStr">
        <is>
          <t>Not contacted</t>
        </is>
      </c>
      <c r="AA21" s="2" t="inlineStr">
        <is>
          <t>Senthil + Balaji + Surya (proposed)</t>
        </is>
      </c>
    </row>
    <row r="22" ht="78" customHeight="1">
      <c r="A22" s="2" t="inlineStr">
        <is>
          <t>CC-021</t>
        </is>
      </c>
      <c r="B22" s="2" t="inlineStr">
        <is>
          <t>Meris</t>
        </is>
      </c>
      <c r="C22" s="2" t="inlineStr">
        <is>
          <t>Capital Cortex</t>
        </is>
      </c>
      <c r="D22" s="2" t="inlineStr">
        <is>
          <t>UAE</t>
        </is>
      </c>
      <c r="E22" s="2" t="n">
        <v>2</v>
      </c>
      <c r="F22" s="2" t="n">
        <v>3</v>
      </c>
      <c r="G22" s="2" t="inlineStr">
        <is>
          <t>NYU Abu Dhabi / startAD</t>
        </is>
      </c>
      <c r="H22" s="2" t="inlineStr">
        <is>
          <t>Academia / accelerator</t>
        </is>
      </c>
      <c r="I22" s="2" t="inlineStr">
        <is>
          <t>Corporate pilot matching / venture support</t>
        </is>
      </c>
      <c r="J22" s="2" t="inlineStr">
        <is>
          <t>AI / industry / health / sustainability</t>
        </is>
      </c>
      <c r="K22" s="2" t="inlineStr">
        <is>
          <t>Startup programmes; cohort dependent</t>
        </is>
      </c>
      <c r="L22" s="2" t="inlineStr">
        <is>
          <t>Programme-specific sector and founder conditions; no general university grant assumed.</t>
        </is>
      </c>
      <c r="M22" s="2" t="inlineStr">
        <is>
          <t>Contact now</t>
        </is>
      </c>
      <c r="N22" s="2" t="inlineStr">
        <is>
          <t>High</t>
        </is>
      </c>
      <c r="O22" s="2" t="inlineStr">
        <is>
          <t>No direct cash confirmed</t>
        </is>
      </c>
      <c r="P22" s="2" t="n">
        <v>5</v>
      </c>
      <c r="Q22" s="2" t="n">
        <v>4</v>
      </c>
      <c r="R22" s="2" t="n">
        <v>4</v>
      </c>
      <c r="S22" s="2" t="n">
        <v>90</v>
      </c>
      <c r="T22" s="2" t="inlineStr">
        <is>
          <t>startAD@nyu.edu</t>
        </is>
      </c>
      <c r="U22" s="3" t="inlineStr">
        <is>
          <t>https://startad.ae/contact/</t>
        </is>
      </c>
      <c r="V22" s="3" t="inlineStr">
        <is>
          <t>https://startad.ae/programs/</t>
        </is>
      </c>
      <c r="W22" s="2" t="inlineStr">
        <is>
          <t>2026-10-06</t>
        </is>
      </c>
      <c r="X22" s="2" t="inlineStr">
        <is>
          <t>Programme directory and contact live</t>
        </is>
      </c>
      <c r="Y22" s="2" t="inlineStr">
        <is>
          <t>Request next relevant corporate sprint and university-supported validation route.</t>
        </is>
      </c>
      <c r="Z22" s="2" t="inlineStr">
        <is>
          <t>Not contacted</t>
        </is>
      </c>
      <c r="AA22" s="2" t="inlineStr">
        <is>
          <t>Dr. Vijendran + Kumar (proposed)</t>
        </is>
      </c>
    </row>
    <row r="23" ht="78" customHeight="1">
      <c r="A23" s="2" t="inlineStr">
        <is>
          <t>CC-022</t>
        </is>
      </c>
      <c r="B23" s="2" t="inlineStr">
        <is>
          <t>Meris</t>
        </is>
      </c>
      <c r="C23" s="2" t="inlineStr">
        <is>
          <t>Capital Cortex</t>
        </is>
      </c>
      <c r="D23" s="2" t="inlineStr">
        <is>
          <t>UAE</t>
        </is>
      </c>
      <c r="E23" s="2" t="n">
        <v>2</v>
      </c>
      <c r="F23" s="2" t="n">
        <v>4</v>
      </c>
      <c r="G23" s="2" t="inlineStr">
        <is>
          <t>Hub71 Access</t>
        </is>
      </c>
      <c r="H23" s="2" t="inlineStr">
        <is>
          <t>Accelerator / investment support</t>
        </is>
      </c>
      <c r="I23" s="2" t="inlineStr">
        <is>
          <t>Incentives; equity terms to confirm</t>
        </is>
      </c>
      <c r="J23" s="2" t="inlineStr">
        <is>
          <t>AI / enterprise / infrastructure</t>
        </is>
      </c>
      <c r="K23" s="2" t="inlineStr">
        <is>
          <t>Application explicitly includes post-launch pre-revenue</t>
        </is>
      </c>
      <c r="L23" s="2" t="inlineStr">
        <is>
          <t>Founder relocation question; Abu Dhabi plan and MVP required; verify admission and incentive terms.</t>
        </is>
      </c>
      <c r="M23" s="2" t="inlineStr">
        <is>
          <t>Contact now</t>
        </is>
      </c>
      <c r="N23" s="2" t="inlineStr">
        <is>
          <t>Medium</t>
        </is>
      </c>
      <c r="O23" s="2" t="inlineStr">
        <is>
          <t>No direct cash confirmed</t>
        </is>
      </c>
      <c r="P23" s="2" t="n">
        <v>5</v>
      </c>
      <c r="Q23" s="2" t="n">
        <v>3</v>
      </c>
      <c r="R23" s="2" t="n">
        <v>3</v>
      </c>
      <c r="S23" s="2" t="n">
        <v>80</v>
      </c>
      <c r="T23" s="2" t="inlineStr">
        <is>
          <t>Access admissions via application form</t>
        </is>
      </c>
      <c r="U23" s="3" t="inlineStr">
        <is>
          <t>https://www.hub71.com/program/access-programme/apply</t>
        </is>
      </c>
      <c r="V23" s="3" t="inlineStr">
        <is>
          <t>https://www.hub71.com/program/access-programme/apply</t>
        </is>
      </c>
      <c r="W23" s="2" t="inlineStr">
        <is>
          <t>2026-10-06</t>
        </is>
      </c>
      <c r="X23" s="2" t="inlineStr">
        <is>
          <t>Application form live; next selection unconfirmed</t>
        </is>
      </c>
      <c r="Y23" s="2" t="inlineStr">
        <is>
          <t>Request pre-revenue eligibility screening with MVP demo and Abu Dhabi pilot roadmap.</t>
        </is>
      </c>
      <c r="Z23" s="2" t="inlineStr">
        <is>
          <t>Not contacted</t>
        </is>
      </c>
      <c r="AA23" s="2" t="inlineStr">
        <is>
          <t>Senthil + Dr. Vijendran (proposed)</t>
        </is>
      </c>
    </row>
    <row r="24" ht="78" customHeight="1">
      <c r="A24" s="2" t="inlineStr">
        <is>
          <t>CC-023</t>
        </is>
      </c>
      <c r="B24" s="2" t="inlineStr">
        <is>
          <t>Meris</t>
        </is>
      </c>
      <c r="C24" s="2" t="inlineStr">
        <is>
          <t>Capital Cortex</t>
        </is>
      </c>
      <c r="D24" s="2" t="inlineStr">
        <is>
          <t>UAE</t>
        </is>
      </c>
      <c r="E24" s="2" t="n">
        <v>2</v>
      </c>
      <c r="F24" s="2" t="n">
        <v>5</v>
      </c>
      <c r="G24" s="2" t="inlineStr">
        <is>
          <t>Shorooq venture capital</t>
        </is>
      </c>
      <c r="H24" s="2" t="inlineStr">
        <is>
          <t>VC</t>
        </is>
      </c>
      <c r="I24" s="2" t="inlineStr">
        <is>
          <t>Equity</t>
        </is>
      </c>
      <c r="J24" s="2" t="inlineStr">
        <is>
          <t>Software / frontier tech / platforms</t>
        </is>
      </c>
      <c r="K24" s="2" t="inlineStr">
        <is>
          <t>Pre-seed onward explicitly stated</t>
        </is>
      </c>
      <c r="L24" s="2" t="inlineStr">
        <is>
          <t>Demonstrate MENA strategy and venture returns; pitch VC team, not PE or credit team.</t>
        </is>
      </c>
      <c r="M24" s="2" t="inlineStr">
        <is>
          <t>Contact now</t>
        </is>
      </c>
      <c r="N24" s="2" t="inlineStr">
        <is>
          <t>Medium</t>
        </is>
      </c>
      <c r="O24" s="2" t="inlineStr">
        <is>
          <t>Low to medium / competitive</t>
        </is>
      </c>
      <c r="P24" s="2" t="n">
        <v>5</v>
      </c>
      <c r="Q24" s="2" t="n">
        <v>3</v>
      </c>
      <c r="R24" s="2" t="n">
        <v>3</v>
      </c>
      <c r="S24" s="2" t="n">
        <v>80</v>
      </c>
      <c r="T24" s="2" t="inlineStr">
        <is>
          <t>VC investment team via official website</t>
        </is>
      </c>
      <c r="U24" s="3" t="inlineStr">
        <is>
          <t>https://www.shorooq.com/locations</t>
        </is>
      </c>
      <c r="V24" s="3" t="inlineStr">
        <is>
          <t>https://www.shorooq.com/what-we-do/equity-venture-capital</t>
        </is>
      </c>
      <c r="W24" s="2" t="inlineStr">
        <is>
          <t>2026-10-06</t>
        </is>
      </c>
      <c r="X24" s="2" t="inlineStr">
        <is>
          <t>Official early-stage mandate published</t>
        </is>
      </c>
      <c r="Y24" s="2" t="inlineStr">
        <is>
          <t>Request pre-seed review for CK/ESG with UAE hotel and industrial deployment wedge.</t>
        </is>
      </c>
      <c r="Z24" s="2" t="inlineStr">
        <is>
          <t>Not contacted</t>
        </is>
      </c>
      <c r="AA24" s="2" t="inlineStr">
        <is>
          <t>Senthil + Dr. Vijendran (proposed)</t>
        </is>
      </c>
    </row>
    <row r="25" ht="78" customHeight="1">
      <c r="A25" s="2" t="inlineStr">
        <is>
          <t>CC-024</t>
        </is>
      </c>
      <c r="B25" s="2" t="inlineStr">
        <is>
          <t>Meris</t>
        </is>
      </c>
      <c r="C25" s="2" t="inlineStr">
        <is>
          <t>Capital Cortex</t>
        </is>
      </c>
      <c r="D25" s="2" t="inlineStr">
        <is>
          <t>UAE</t>
        </is>
      </c>
      <c r="E25" s="2" t="n">
        <v>2</v>
      </c>
      <c r="F25" s="2" t="n">
        <v>6</v>
      </c>
      <c r="G25" s="2" t="inlineStr">
        <is>
          <t>Dubai Future Accelerators</t>
        </is>
      </c>
      <c r="H25" s="2" t="inlineStr">
        <is>
          <t>Government / corporate pilots</t>
        </is>
      </c>
      <c r="I25" s="2" t="inlineStr">
        <is>
          <t>Challenge collaboration; possible procurement</t>
        </is>
      </c>
      <c r="J25" s="2" t="inlineStr">
        <is>
          <t>Utilities / healthcare / smart infrastructure</t>
        </is>
      </c>
      <c r="K25" s="2" t="inlineStr">
        <is>
          <t>Prototype suitable; challenge dependent</t>
        </is>
      </c>
      <c r="L25" s="2" t="inlineStr">
        <is>
          <t>Current challenge match; no guaranteed grant or purchase order.</t>
        </is>
      </c>
      <c r="M25" s="2" t="inlineStr">
        <is>
          <t>Contact now</t>
        </is>
      </c>
      <c r="N25" s="2" t="inlineStr">
        <is>
          <t>Medium</t>
        </is>
      </c>
      <c r="O25" s="2" t="inlineStr">
        <is>
          <t>No direct cash confirmed</t>
        </is>
      </c>
      <c r="P25" s="2" t="n">
        <v>5</v>
      </c>
      <c r="Q25" s="2" t="n">
        <v>3</v>
      </c>
      <c r="R25" s="2" t="n">
        <v>3</v>
      </c>
      <c r="S25" s="2" t="n">
        <v>80</v>
      </c>
      <c r="T25" s="2" t="inlineStr">
        <is>
          <t>Programme team via official initiative</t>
        </is>
      </c>
      <c r="U25" s="3" t="inlineStr">
        <is>
          <t>https://www.dubaifuture.ae/initiatives/future-design-and-acceleration/dubai-future-accelerators/</t>
        </is>
      </c>
      <c r="V25" s="3" t="inlineStr">
        <is>
          <t>https://www.dubaifuture.ae/initiatives/future-design-and-acceleration/dubai-future-accelerators/</t>
        </is>
      </c>
      <c r="W25" s="2" t="inlineStr">
        <is>
          <t>2026-10-06</t>
        </is>
      </c>
      <c r="X25" s="2" t="inlineStr">
        <is>
          <t>Programme listed; matching live challenge unconfirmed</t>
        </is>
      </c>
      <c r="Y25" s="2" t="inlineStr">
        <is>
          <t>Ask for current energy/water/health facility challenges and pilot submission route.</t>
        </is>
      </c>
      <c r="Z25" s="2" t="inlineStr">
        <is>
          <t>Not contacted</t>
        </is>
      </c>
      <c r="AA25" s="2" t="inlineStr">
        <is>
          <t>Senthil + Dr. Vijendran (proposed)</t>
        </is>
      </c>
    </row>
    <row r="26" ht="78" customHeight="1">
      <c r="A26" s="2" t="inlineStr">
        <is>
          <t>CC-025</t>
        </is>
      </c>
      <c r="B26" s="2" t="inlineStr">
        <is>
          <t>Meris</t>
        </is>
      </c>
      <c r="C26" s="2" t="inlineStr">
        <is>
          <t>Capital Cortex</t>
        </is>
      </c>
      <c r="D26" s="2" t="inlineStr">
        <is>
          <t>UAE</t>
        </is>
      </c>
      <c r="E26" s="2" t="n">
        <v>2</v>
      </c>
      <c r="F26" s="2" t="n">
        <v>7</v>
      </c>
      <c r="G26" s="2" t="inlineStr">
        <is>
          <t>Etihad ESCO</t>
        </is>
      </c>
      <c r="H26" s="2" t="inlineStr">
        <is>
          <t>Utility / ESCO partner</t>
        </is>
      </c>
      <c r="I26" s="2" t="inlineStr">
        <is>
          <t>Performance-contract pilot / supplier route</t>
        </is>
      </c>
      <c r="J26" s="2" t="inlineStr">
        <is>
          <t>Buildings / hotels / industrial</t>
        </is>
      </c>
      <c r="K26" s="2" t="inlineStr">
        <is>
          <t>Commercial partner; not seed fund</t>
        </is>
      </c>
      <c r="L26" s="2" t="inlineStr">
        <is>
          <t>Supplier onboarding, site economics and verifiable savings needed; budget not guaranteed.</t>
        </is>
      </c>
      <c r="M26" s="2" t="inlineStr">
        <is>
          <t>Contact now</t>
        </is>
      </c>
      <c r="N26" s="2" t="inlineStr">
        <is>
          <t>Medium</t>
        </is>
      </c>
      <c r="O26" s="2" t="inlineStr">
        <is>
          <t>No direct cash confirmed</t>
        </is>
      </c>
      <c r="P26" s="2" t="n">
        <v>5</v>
      </c>
      <c r="Q26" s="2" t="n">
        <v>3</v>
      </c>
      <c r="R26" s="2" t="n">
        <v>3</v>
      </c>
      <c r="S26" s="2" t="n">
        <v>80</v>
      </c>
      <c r="T26" s="2" t="inlineStr">
        <is>
          <t>Business development via official contact page</t>
        </is>
      </c>
      <c r="U26" s="3" t="inlineStr">
        <is>
          <t>https://etihadesco.ae/contacts/</t>
        </is>
      </c>
      <c r="V26" s="3" t="inlineStr">
        <is>
          <t>https://etihadesco.ae/</t>
        </is>
      </c>
      <c r="W26" s="2" t="inlineStr">
        <is>
          <t>2026-10-06</t>
        </is>
      </c>
      <c r="X26" s="2" t="inlineStr">
        <is>
          <t>Public business contact page</t>
        </is>
      </c>
      <c r="Y26" s="2" t="inlineStr">
        <is>
          <t>Propose CK energy anomaly and monitoring package as an ESCO integration pilot.</t>
        </is>
      </c>
      <c r="Z26" s="2" t="inlineStr">
        <is>
          <t>Not contacted</t>
        </is>
      </c>
      <c r="AA26" s="2" t="inlineStr">
        <is>
          <t>Senthil + Balaji + Surya (proposed)</t>
        </is>
      </c>
    </row>
    <row r="27" ht="78" customHeight="1">
      <c r="A27" s="2" t="inlineStr">
        <is>
          <t>CC-026</t>
        </is>
      </c>
      <c r="B27" s="2" t="inlineStr">
        <is>
          <t>Meris</t>
        </is>
      </c>
      <c r="C27" s="2" t="inlineStr">
        <is>
          <t>Capital Cortex</t>
        </is>
      </c>
      <c r="D27" s="2" t="inlineStr">
        <is>
          <t>UAE</t>
        </is>
      </c>
      <c r="E27" s="2" t="n">
        <v>2</v>
      </c>
      <c r="F27" s="2" t="n">
        <v>8</v>
      </c>
      <c r="G27" s="2" t="inlineStr">
        <is>
          <t>Khalifa University</t>
        </is>
      </c>
      <c r="H27" s="2" t="inlineStr">
        <is>
          <t>Academia</t>
        </is>
      </c>
      <c r="I27" s="2" t="inlineStr">
        <is>
          <t>Research collaboration / technology licensing</t>
        </is>
      </c>
      <c r="J27" s="2" t="inlineStr">
        <is>
          <t>Energy / water / industrial / IoT</t>
        </is>
      </c>
      <c r="K27" s="2" t="inlineStr">
        <is>
          <t>Industry collaboration; not startup grant</t>
        </is>
      </c>
      <c r="L27" s="2" t="inlineStr">
        <is>
          <t>Research budget, faculty sponsorship and IP terms; inquiry routed through research office.</t>
        </is>
      </c>
      <c r="M27" s="2" t="inlineStr">
        <is>
          <t>Contact now</t>
        </is>
      </c>
      <c r="N27" s="2" t="inlineStr">
        <is>
          <t>High</t>
        </is>
      </c>
      <c r="O27" s="2" t="inlineStr">
        <is>
          <t>No direct cash confirmed</t>
        </is>
      </c>
      <c r="P27" s="2" t="n">
        <v>4</v>
      </c>
      <c r="Q27" s="2" t="n">
        <v>4</v>
      </c>
      <c r="R27" s="2" t="n">
        <v>3</v>
      </c>
      <c r="S27" s="2" t="n">
        <v>76</v>
      </c>
      <c r="T27" s="2" t="inlineStr">
        <is>
          <t>ors@ku.ac.ae (research) | ip@ku.ac.ae (licensing)</t>
        </is>
      </c>
      <c r="U27" s="3" t="inlineStr">
        <is>
          <t>https://www.ku.ac.ae/research-offices/technology-management-innovation/commercial-agreements</t>
        </is>
      </c>
      <c r="V27" s="3" t="inlineStr">
        <is>
          <t>https://www.ku.ac.ae/research/research-administration/</t>
        </is>
      </c>
      <c r="W27" s="2" t="inlineStr">
        <is>
          <t>2026-10-06</t>
        </is>
      </c>
      <c r="X27" s="2" t="inlineStr">
        <is>
          <t>Research and technology contacts published</t>
        </is>
      </c>
      <c r="Y27" s="2" t="inlineStr">
        <is>
          <t>Request applied energy/AQ sensor and industrial PdM research collaboration.</t>
        </is>
      </c>
      <c r="Z27" s="2" t="inlineStr">
        <is>
          <t>Not contacted</t>
        </is>
      </c>
      <c r="AA27" s="2" t="inlineStr">
        <is>
          <t>Dr. Vijendran + Kumar (proposed)</t>
        </is>
      </c>
    </row>
    <row r="28" ht="78" customHeight="1">
      <c r="A28" s="2" t="inlineStr">
        <is>
          <t>CC-027</t>
        </is>
      </c>
      <c r="B28" s="2" t="inlineStr">
        <is>
          <t>Meris</t>
        </is>
      </c>
      <c r="C28" s="2" t="inlineStr">
        <is>
          <t>Capital Cortex</t>
        </is>
      </c>
      <c r="D28" s="2" t="inlineStr">
        <is>
          <t>UAE</t>
        </is>
      </c>
      <c r="E28" s="2" t="n">
        <v>2</v>
      </c>
      <c r="F28" s="2" t="n">
        <v>9</v>
      </c>
      <c r="G28" s="2" t="inlineStr">
        <is>
          <t>Dtec SANDBOX</t>
        </is>
      </c>
      <c r="H28" s="2" t="inlineStr">
        <is>
          <t>Accelerator</t>
        </is>
      </c>
      <c r="I28" s="2" t="inlineStr">
        <is>
          <t>Founder development / investor access</t>
        </is>
      </c>
      <c r="J28" s="2" t="inlineStr">
        <is>
          <t>B2B tech / AI / IoT</t>
        </is>
      </c>
      <c r="K28" s="2" t="inlineStr">
        <is>
          <t>Early-stage programme</t>
        </is>
      </c>
      <c r="L28" s="2" t="inlineStr">
        <is>
          <t>Dubai presence, fees/equity/credits and current eligibility must be reconfirmed; do not reuse old award figures.</t>
        </is>
      </c>
      <c r="M28" s="2" t="inlineStr">
        <is>
          <t>Contact now</t>
        </is>
      </c>
      <c r="N28" s="2" t="inlineStr">
        <is>
          <t>Medium</t>
        </is>
      </c>
      <c r="O28" s="2" t="inlineStr">
        <is>
          <t>No direct cash confirmed</t>
        </is>
      </c>
      <c r="P28" s="2" t="n">
        <v>4</v>
      </c>
      <c r="Q28" s="2" t="n">
        <v>3</v>
      </c>
      <c r="R28" s="2" t="n">
        <v>3</v>
      </c>
      <c r="S28" s="2" t="n">
        <v>70</v>
      </c>
      <c r="T28" s="2" t="inlineStr">
        <is>
          <t>SANDBOX programme application team</t>
        </is>
      </c>
      <c r="U28" s="3" t="inlineStr">
        <is>
          <t>https://dtec.ae/programs/</t>
        </is>
      </c>
      <c r="V28" s="3" t="inlineStr">
        <is>
          <t>https://dtec.ae/programs/</t>
        </is>
      </c>
      <c r="W28" s="2" t="inlineStr">
        <is>
          <t>2026-10-06</t>
        </is>
      </c>
      <c r="X28" s="2" t="inlineStr">
        <is>
          <t>Official page points to SANDBOX application</t>
        </is>
      </c>
      <c r="Y28" s="2" t="inlineStr">
        <is>
          <t>Ask current terms and fit for pre-revenue US company with UAE partner pipeline.</t>
        </is>
      </c>
      <c r="Z28" s="2" t="inlineStr">
        <is>
          <t>Not contacted</t>
        </is>
      </c>
      <c r="AA28" s="2" t="inlineStr">
        <is>
          <t>Senthil + Dr. Vijendran (proposed)</t>
        </is>
      </c>
    </row>
    <row r="29" ht="78" customHeight="1">
      <c r="A29" s="2" t="inlineStr">
        <is>
          <t>CC-028</t>
        </is>
      </c>
      <c r="B29" s="2" t="inlineStr">
        <is>
          <t>Meris</t>
        </is>
      </c>
      <c r="C29" s="2" t="inlineStr">
        <is>
          <t>Capital Cortex</t>
        </is>
      </c>
      <c r="D29" s="2" t="inlineStr">
        <is>
          <t>UAE</t>
        </is>
      </c>
      <c r="E29" s="2" t="n">
        <v>2</v>
      </c>
      <c r="F29" s="2" t="n">
        <v>10</v>
      </c>
      <c r="G29" s="2" t="inlineStr">
        <is>
          <t>MBZUAI Incubation &amp; Entrepreneurship Center</t>
        </is>
      </c>
      <c r="H29" s="2" t="inlineStr">
        <is>
          <t>Academia / AI ecosystem</t>
        </is>
      </c>
      <c r="I29" s="2" t="inlineStr">
        <is>
          <t>Demo Day / research-founder engagement</t>
        </is>
      </c>
      <c r="J29" s="2" t="inlineStr">
        <is>
          <t>AI / predictive maintenance / health infrastructure</t>
        </is>
      </c>
      <c r="K29" s="2" t="inlineStr">
        <is>
          <t>External community opportunities</t>
        </is>
      </c>
      <c r="L29" s="2" t="inlineStr">
        <is>
          <t>IEC grants exclusively for MBZUAI-affiliated founders; Inspironics affiliation not established.</t>
        </is>
      </c>
      <c r="M29" s="2" t="inlineStr">
        <is>
          <t>Contact now</t>
        </is>
      </c>
      <c r="N29" s="2" t="inlineStr">
        <is>
          <t>Medium</t>
        </is>
      </c>
      <c r="O29" s="2" t="inlineStr">
        <is>
          <t>No direct cash confirmed</t>
        </is>
      </c>
      <c r="P29" s="2" t="n">
        <v>4</v>
      </c>
      <c r="Q29" s="2" t="n">
        <v>3</v>
      </c>
      <c r="R29" s="2" t="n">
        <v>3</v>
      </c>
      <c r="S29" s="2" t="n">
        <v>70</v>
      </c>
      <c r="T29" s="2" t="inlineStr">
        <is>
          <t>iec@mbzuai.ac.ae</t>
        </is>
      </c>
      <c r="U29" s="3" t="inlineStr">
        <is>
          <t>https://mbzuai.ac.ae/innovation-partnerships/incubation-entrepreneurship-center</t>
        </is>
      </c>
      <c r="V29" s="3" t="inlineStr">
        <is>
          <t>https://mbzuai.ac.ae/innovation-partnerships/incubation-entrepreneurship-center</t>
        </is>
      </c>
      <c r="W29" s="2" t="inlineStr">
        <is>
          <t>2026-10-06</t>
        </is>
      </c>
      <c r="X29" s="2" t="inlineStr">
        <is>
          <t>External events listed; grant eligibility blocked absent affiliation</t>
        </is>
      </c>
      <c r="Y29" s="2" t="inlineStr">
        <is>
          <t>Request Demo Day participation and research collaboration, not an unaffiliated grant.</t>
        </is>
      </c>
      <c r="Z29" s="2" t="inlineStr">
        <is>
          <t>Not contacted</t>
        </is>
      </c>
      <c r="AA29" s="2" t="inlineStr">
        <is>
          <t>Dr. Vijendran + Kumar (proposed)</t>
        </is>
      </c>
    </row>
    <row r="30" ht="78" customHeight="1">
      <c r="A30" s="2" t="inlineStr">
        <is>
          <t>CC-029</t>
        </is>
      </c>
      <c r="B30" s="2" t="inlineStr">
        <is>
          <t>Meris</t>
        </is>
      </c>
      <c r="C30" s="2" t="inlineStr">
        <is>
          <t>Capital Cortex</t>
        </is>
      </c>
      <c r="D30" s="2" t="inlineStr">
        <is>
          <t>UAE</t>
        </is>
      </c>
      <c r="E30" s="2" t="n">
        <v>2</v>
      </c>
      <c r="F30" s="2" t="n">
        <v>11</v>
      </c>
      <c r="G30" s="2" t="inlineStr">
        <is>
          <t>Wamda Capital</t>
        </is>
      </c>
      <c r="H30" s="2" t="inlineStr">
        <is>
          <t>VC</t>
        </is>
      </c>
      <c r="I30" s="2" t="inlineStr">
        <is>
          <t>Equity</t>
        </is>
      </c>
      <c r="J30" s="2" t="inlineStr">
        <is>
          <t>Enterprise tech / MENA</t>
        </is>
      </c>
      <c r="K30" s="2" t="inlineStr">
        <is>
          <t>High-growth technology; pre-revenue policy unverified</t>
        </is>
      </c>
      <c r="L30" s="2" t="inlineStr">
        <is>
          <t>MENA relevance; ask stage fit before full diligence.</t>
        </is>
      </c>
      <c r="M30" s="2" t="inlineStr">
        <is>
          <t>Conditional screen</t>
        </is>
      </c>
      <c r="N30" s="2" t="inlineStr">
        <is>
          <t>Low</t>
        </is>
      </c>
      <c r="O30" s="2" t="inlineStr">
        <is>
          <t>Low to medium / competitive</t>
        </is>
      </c>
      <c r="P30" s="2" t="n">
        <v>4</v>
      </c>
      <c r="Q30" s="2" t="n">
        <v>2</v>
      </c>
      <c r="R30" s="2" t="n">
        <v>3</v>
      </c>
      <c r="S30" s="2" t="n">
        <v>64</v>
      </c>
      <c r="T30" s="2" t="inlineStr">
        <is>
          <t>info@wamdacapital.com</t>
        </is>
      </c>
      <c r="U30" s="3" t="inlineStr">
        <is>
          <t>https://wamdacapital.com/contact-us/</t>
        </is>
      </c>
      <c r="V30" s="3" t="inlineStr">
        <is>
          <t>https://www.wamda.com/about</t>
        </is>
      </c>
      <c r="W30" s="2" t="inlineStr">
        <is>
          <t>2026-10-06</t>
        </is>
      </c>
      <c r="X30" s="2" t="inlineStr">
        <is>
          <t>Official investment and contact pages</t>
        </is>
      </c>
      <c r="Y30" s="2" t="inlineStr">
        <is>
          <t>Send brief stage-fit inquiry for UAE hospitality AIoT; seek partner referral.</t>
        </is>
      </c>
      <c r="Z30" s="2" t="inlineStr">
        <is>
          <t>Not contacted</t>
        </is>
      </c>
      <c r="AA30" s="2" t="inlineStr">
        <is>
          <t>Senthil + Dr. Vijendran (proposed)</t>
        </is>
      </c>
    </row>
    <row r="31" ht="78" customHeight="1">
      <c r="A31" s="2" t="inlineStr">
        <is>
          <t>CC-030</t>
        </is>
      </c>
      <c r="B31" s="2" t="inlineStr">
        <is>
          <t>Meris</t>
        </is>
      </c>
      <c r="C31" s="2" t="inlineStr">
        <is>
          <t>Capital Cortex</t>
        </is>
      </c>
      <c r="D31" s="2" t="inlineStr">
        <is>
          <t>UAE</t>
        </is>
      </c>
      <c r="E31" s="2" t="n">
        <v>2</v>
      </c>
      <c r="F31" s="2" t="n">
        <v>12</v>
      </c>
      <c r="G31" s="2" t="inlineStr">
        <is>
          <t>Gulf Capital</t>
        </is>
      </c>
      <c r="H31" s="2" t="inlineStr">
        <is>
          <t>PE</t>
        </is>
      </c>
      <c r="I31" s="2" t="inlineStr">
        <is>
          <t>Growth equity / portfolio partnership</t>
        </is>
      </c>
      <c r="J31" s="2" t="inlineStr">
        <is>
          <t>Technology / industrial / healthcare</t>
        </is>
      </c>
      <c r="K31" s="2" t="inlineStr">
        <is>
          <t>Current direct capital fit very low (analyst view)</t>
        </is>
      </c>
      <c r="L31" s="2" t="inlineStr">
        <is>
          <t>Growth PE mandate; no pre-revenue financing offer verified.</t>
        </is>
      </c>
      <c r="M31" s="2" t="inlineStr">
        <is>
          <t>Later / portfolio route</t>
        </is>
      </c>
      <c r="N31" s="2" t="inlineStr">
        <is>
          <t>Very low</t>
        </is>
      </c>
      <c r="O31" s="2" t="inlineStr">
        <is>
          <t>Very low / defer</t>
        </is>
      </c>
      <c r="P31" s="2" t="n">
        <v>3</v>
      </c>
      <c r="Q31" s="2" t="n">
        <v>1</v>
      </c>
      <c r="R31" s="2" t="n">
        <v>1</v>
      </c>
      <c r="S31" s="2" t="n">
        <v>40</v>
      </c>
      <c r="T31" s="2" t="inlineStr">
        <is>
          <t>info@gulfcapital.com</t>
        </is>
      </c>
      <c r="U31" s="3" t="inlineStr">
        <is>
          <t>https://www.gulfcapital.com/contact-us</t>
        </is>
      </c>
      <c r="V31" s="3" t="inlineStr">
        <is>
          <t>https://www.gulfcapital.com/the-firm</t>
        </is>
      </c>
      <c r="W31" s="2" t="inlineStr">
        <is>
          <t>2026-10-06</t>
        </is>
      </c>
      <c r="X31" s="2" t="inlineStr">
        <is>
          <t>Official strategy and contact pages</t>
        </is>
      </c>
      <c r="Y31" s="2" t="inlineStr">
        <is>
          <t>Seek portfolio pilot introduction after local proof; defer primary raise.</t>
        </is>
      </c>
      <c r="Z31" s="2" t="inlineStr">
        <is>
          <t>Not contacted</t>
        </is>
      </c>
      <c r="AA31" s="2" t="inlineStr">
        <is>
          <t>Senthil + Dr. Vijendran (proposed)</t>
        </is>
      </c>
    </row>
    <row r="32" ht="78" customHeight="1">
      <c r="A32" s="2" t="inlineStr">
        <is>
          <t>CC-031</t>
        </is>
      </c>
      <c r="B32" s="2" t="inlineStr">
        <is>
          <t>Meris</t>
        </is>
      </c>
      <c r="C32" s="2" t="inlineStr">
        <is>
          <t>Capital Cortex</t>
        </is>
      </c>
      <c r="D32" s="2" t="inlineStr">
        <is>
          <t>Singapore</t>
        </is>
      </c>
      <c r="E32" s="2" t="n">
        <v>3</v>
      </c>
      <c r="F32" s="2" t="n">
        <v>1</v>
      </c>
      <c r="G32" s="2" t="inlineStr">
        <is>
          <t>NTU Energy Research Institute (ERI@N)</t>
        </is>
      </c>
      <c r="H32" s="2" t="inlineStr">
        <is>
          <t>Academia</t>
        </is>
      </c>
      <c r="I32" s="2" t="inlineStr">
        <is>
          <t>Industry research collaboration</t>
        </is>
      </c>
      <c r="J32" s="2" t="inlineStr">
        <is>
          <t>Energy / buildings / industrial</t>
        </is>
      </c>
      <c r="K32" s="2" t="inlineStr">
        <is>
          <t>Industry collaboration route</t>
        </is>
      </c>
      <c r="L32" s="2" t="inlineStr">
        <is>
          <t>Budget and research agreement; foreground IP terms must be agreed.</t>
        </is>
      </c>
      <c r="M32" s="2" t="inlineStr">
        <is>
          <t>Contact now</t>
        </is>
      </c>
      <c r="N32" s="2" t="inlineStr">
        <is>
          <t>High</t>
        </is>
      </c>
      <c r="O32" s="2" t="inlineStr">
        <is>
          <t>No direct cash confirmed</t>
        </is>
      </c>
      <c r="P32" s="2" t="n">
        <v>5</v>
      </c>
      <c r="Q32" s="2" t="n">
        <v>4</v>
      </c>
      <c r="R32" s="2" t="n">
        <v>4</v>
      </c>
      <c r="S32" s="2" t="n">
        <v>90</v>
      </c>
      <c r="T32" s="2" t="inlineStr">
        <is>
          <t>d-erian@ntu.edu.sg | +65 6592 1786</t>
        </is>
      </c>
      <c r="U32" s="3" t="inlineStr">
        <is>
          <t>https://www.ntu.edu.sg/erian/industry-partners</t>
        </is>
      </c>
      <c r="V32" s="3" t="inlineStr">
        <is>
          <t>https://www.ntu.edu.sg/erian/industry-partners</t>
        </is>
      </c>
      <c r="W32" s="2" t="inlineStr">
        <is>
          <t>2026-10-06</t>
        </is>
      </c>
      <c r="X32" s="2" t="inlineStr">
        <is>
          <t>Industry partnership mailbox published</t>
        </is>
      </c>
      <c r="Y32" s="2" t="inlineStr">
        <is>
          <t>Request measured energy optimization validation and joint GBIC scoping.</t>
        </is>
      </c>
      <c r="Z32" s="2" t="inlineStr">
        <is>
          <t>Not contacted</t>
        </is>
      </c>
      <c r="AA32" s="2" t="inlineStr">
        <is>
          <t>Dr. Vijendran + Kumar (proposed)</t>
        </is>
      </c>
    </row>
    <row r="33" ht="78" customHeight="1">
      <c r="A33" s="2" t="inlineStr">
        <is>
          <t>CC-032</t>
        </is>
      </c>
      <c r="B33" s="2" t="inlineStr">
        <is>
          <t>Meris</t>
        </is>
      </c>
      <c r="C33" s="2" t="inlineStr">
        <is>
          <t>Capital Cortex</t>
        </is>
      </c>
      <c r="D33" s="2" t="inlineStr">
        <is>
          <t>Singapore</t>
        </is>
      </c>
      <c r="E33" s="2" t="n">
        <v>3</v>
      </c>
      <c r="F33" s="2" t="n">
        <v>2</v>
      </c>
      <c r="G33" s="2" t="inlineStr">
        <is>
          <t>A*STAR ARTC</t>
        </is>
      </c>
      <c r="H33" s="2" t="inlineStr">
        <is>
          <t>Industry consortium / research</t>
        </is>
      </c>
      <c r="I33" s="2" t="inlineStr">
        <is>
          <t>Co-development / manufacturing testbed</t>
        </is>
      </c>
      <c r="J33" s="2" t="inlineStr">
        <is>
          <t>Factories / aerospace supply chain / PdM / OEE</t>
        </is>
      </c>
      <c r="K33" s="2" t="inlineStr">
        <is>
          <t>Consortium includes startups</t>
        </is>
      </c>
      <c r="L33" s="2" t="inlineStr">
        <is>
          <t>Membership fees, local project structure and scope; not free seed capital.</t>
        </is>
      </c>
      <c r="M33" s="2" t="inlineStr">
        <is>
          <t>Contact now</t>
        </is>
      </c>
      <c r="N33" s="2" t="inlineStr">
        <is>
          <t>High</t>
        </is>
      </c>
      <c r="O33" s="2" t="inlineStr">
        <is>
          <t>No direct cash confirmed</t>
        </is>
      </c>
      <c r="P33" s="2" t="n">
        <v>5</v>
      </c>
      <c r="Q33" s="2" t="n">
        <v>4</v>
      </c>
      <c r="R33" s="2" t="n">
        <v>3</v>
      </c>
      <c r="S33" s="2" t="n">
        <v>86</v>
      </c>
      <c r="T33" s="2" t="inlineStr">
        <is>
          <t>artc_techbiz_admin@a-star.edu.sg</t>
        </is>
      </c>
      <c r="U33" s="3" t="inlineStr">
        <is>
          <t>https://www.a-star.edu.sg/artc/contact-us</t>
        </is>
      </c>
      <c r="V33" s="3" t="inlineStr">
        <is>
          <t>https://www.a-star.edu.sg/artc/</t>
        </is>
      </c>
      <c r="W33" s="2" t="inlineStr">
        <is>
          <t>2026-10-06</t>
        </is>
      </c>
      <c r="X33" s="2" t="inlineStr">
        <is>
          <t>Membership and business mailbox live</t>
        </is>
      </c>
      <c r="Y33" s="2" t="inlineStr">
        <is>
          <t>Request startup-tier access and a PdM/OEE demonstrator with manufacturing member.</t>
        </is>
      </c>
      <c r="Z33" s="2" t="inlineStr">
        <is>
          <t>Not contacted</t>
        </is>
      </c>
      <c r="AA33" s="2" t="inlineStr">
        <is>
          <t>Senthil + Balaji + Surya (proposed)</t>
        </is>
      </c>
    </row>
    <row r="34" ht="78" customHeight="1">
      <c r="A34" s="2" t="inlineStr">
        <is>
          <t>CC-033</t>
        </is>
      </c>
      <c r="B34" s="2" t="inlineStr">
        <is>
          <t>Meris</t>
        </is>
      </c>
      <c r="C34" s="2" t="inlineStr">
        <is>
          <t>Capital Cortex</t>
        </is>
      </c>
      <c r="D34" s="2" t="inlineStr">
        <is>
          <t>Singapore</t>
        </is>
      </c>
      <c r="E34" s="2" t="n">
        <v>3</v>
      </c>
      <c r="F34" s="2" t="n">
        <v>3</v>
      </c>
      <c r="G34" s="2" t="inlineStr">
        <is>
          <t>Wavemaker Ventures</t>
        </is>
      </c>
      <c r="H34" s="2" t="inlineStr">
        <is>
          <t>VC</t>
        </is>
      </c>
      <c r="I34" s="2" t="inlineStr">
        <is>
          <t>Equity</t>
        </is>
      </c>
      <c r="J34" s="2" t="inlineStr">
        <is>
          <t>Enterprise / deep tech / sustainability</t>
        </is>
      </c>
      <c r="K34" s="2" t="inlineStr">
        <is>
          <t>Early-stage explicitly stated</t>
        </is>
      </c>
      <c r="L34" s="2" t="inlineStr">
        <is>
          <t>Southeast Asia commercial relevance; technical depth and investable entity/IP.</t>
        </is>
      </c>
      <c r="M34" s="2" t="inlineStr">
        <is>
          <t>Contact now</t>
        </is>
      </c>
      <c r="N34" s="2" t="inlineStr">
        <is>
          <t>Medium</t>
        </is>
      </c>
      <c r="O34" s="2" t="inlineStr">
        <is>
          <t>Low to medium / competitive</t>
        </is>
      </c>
      <c r="P34" s="2" t="n">
        <v>5</v>
      </c>
      <c r="Q34" s="2" t="n">
        <v>3</v>
      </c>
      <c r="R34" s="2" t="n">
        <v>3</v>
      </c>
      <c r="S34" s="2" t="n">
        <v>80</v>
      </c>
      <c r="T34" s="2" t="inlineStr">
        <is>
          <t>Pitch team via official contact form; warm intro preferred</t>
        </is>
      </c>
      <c r="U34" s="3" t="inlineStr">
        <is>
          <t>https://wavemaker.vc/contact-us/</t>
        </is>
      </c>
      <c r="V34" s="3" t="inlineStr">
        <is>
          <t>https://wavemaker.vc/our-investment-thesis/</t>
        </is>
      </c>
      <c r="W34" s="2" t="inlineStr">
        <is>
          <t>2026-10-06</t>
        </is>
      </c>
      <c r="X34" s="2" t="inlineStr">
        <is>
          <t>Official thesis and contact route</t>
        </is>
      </c>
      <c r="Y34" s="2" t="inlineStr">
        <is>
          <t>Use Dr. Vijendran network where available for CK/ESG first-institutional-round introduction.</t>
        </is>
      </c>
      <c r="Z34" s="2" t="inlineStr">
        <is>
          <t>Not contacted</t>
        </is>
      </c>
      <c r="AA34" s="2" t="inlineStr">
        <is>
          <t>Senthil + Dr. Vijendran (proposed)</t>
        </is>
      </c>
    </row>
    <row r="35" ht="78" customHeight="1">
      <c r="A35" s="2" t="inlineStr">
        <is>
          <t>CC-034</t>
        </is>
      </c>
      <c r="B35" s="2" t="inlineStr">
        <is>
          <t>Meris</t>
        </is>
      </c>
      <c r="C35" s="2" t="inlineStr">
        <is>
          <t>Capital Cortex</t>
        </is>
      </c>
      <c r="D35" s="2" t="inlineStr">
        <is>
          <t>Singapore</t>
        </is>
      </c>
      <c r="E35" s="2" t="n">
        <v>3</v>
      </c>
      <c r="F35" s="2" t="n">
        <v>4</v>
      </c>
      <c r="G35" s="2" t="inlineStr">
        <is>
          <t>BCA Green Buildings Innovation Cluster</t>
        </is>
      </c>
      <c r="H35" s="2" t="inlineStr">
        <is>
          <t>Government RD&amp;D</t>
        </is>
      </c>
      <c r="I35" s="2" t="inlineStr">
        <is>
          <t>Co-funded R&amp;D / product prototyping</t>
        </is>
      </c>
      <c r="J35" s="2" t="inlineStr">
        <is>
          <t>Buildings / hospitality / comfort / AQ</t>
        </is>
      </c>
      <c r="K35" s="2" t="inlineStr">
        <is>
          <t>R&amp;D TRL3; product prototyping TRL5</t>
        </is>
      </c>
      <c r="L35" s="2" t="inlineStr">
        <is>
          <t>Research collaborator and building adopter; cost share; R&amp;D &gt;S$0.5m requires public research collaborator. Overseas solutions mentioned; confirm applicant structure.</t>
        </is>
      </c>
      <c r="M35" s="2" t="inlineStr">
        <is>
          <t>Contact now</t>
        </is>
      </c>
      <c r="N35" s="2" t="inlineStr">
        <is>
          <t>Medium</t>
        </is>
      </c>
      <c r="O35" s="2" t="inlineStr">
        <is>
          <t>No direct cash confirmed</t>
        </is>
      </c>
      <c r="P35" s="2" t="n">
        <v>5</v>
      </c>
      <c r="Q35" s="2" t="n">
        <v>3</v>
      </c>
      <c r="R35" s="2" t="n">
        <v>3</v>
      </c>
      <c r="S35" s="2" t="n">
        <v>80</v>
      </c>
      <c r="T35" s="2" t="inlineStr">
        <is>
          <t>BCA_GBIC@bca.gov.sg</t>
        </is>
      </c>
      <c r="U35" s="3" t="inlineStr">
        <is>
          <t>https://www1.bca.gov.sg/sustainability/green-buildings-innovation-cluster-gbic-programme/</t>
        </is>
      </c>
      <c r="V35" s="3" t="inlineStr">
        <is>
          <t>https://www1.bca.gov.sg/sustainability/green-buildings-innovation-cluster-gbic-programme/</t>
        </is>
      </c>
      <c r="W35" s="2" t="inlineStr">
        <is>
          <t>2026-10-06</t>
        </is>
      </c>
      <c r="X35" s="2" t="inlineStr">
        <is>
          <t>Current official page updated Sep 1 2026; call acceptance to confirm</t>
        </is>
      </c>
      <c r="Y35" s="2" t="inlineStr">
        <is>
          <t>Request scoping call with NTU/SUTD plus building owner for CK controls/AQ pilot.</t>
        </is>
      </c>
      <c r="Z35" s="2" t="inlineStr">
        <is>
          <t>Not contacted</t>
        </is>
      </c>
      <c r="AA35" s="2" t="inlineStr">
        <is>
          <t>Senthil + Dr. Vijendran (proposed)</t>
        </is>
      </c>
    </row>
    <row r="36" ht="78" customHeight="1">
      <c r="A36" s="2" t="inlineStr">
        <is>
          <t>CC-035</t>
        </is>
      </c>
      <c r="B36" s="2" t="inlineStr">
        <is>
          <t>Meris</t>
        </is>
      </c>
      <c r="C36" s="2" t="inlineStr">
        <is>
          <t>Capital Cortex</t>
        </is>
      </c>
      <c r="D36" s="2" t="inlineStr">
        <is>
          <t>Singapore</t>
        </is>
      </c>
      <c r="E36" s="2" t="n">
        <v>3</v>
      </c>
      <c r="F36" s="2" t="n">
        <v>5</v>
      </c>
      <c r="G36" s="2" t="inlineStr">
        <is>
          <t>SUTD industry collaborations</t>
        </is>
      </c>
      <c r="H36" s="2" t="inlineStr">
        <is>
          <t>Academia</t>
        </is>
      </c>
      <c r="I36" s="2" t="inlineStr">
        <is>
          <t>Research / capstone / licensing</t>
        </is>
      </c>
      <c r="J36" s="2" t="inlineStr">
        <is>
          <t>IoT / digital twins / buildings / AI</t>
        </is>
      </c>
      <c r="K36" s="2" t="inlineStr">
        <is>
          <t>Industry collaboration route</t>
        </is>
      </c>
      <c r="L36" s="2" t="inlineStr">
        <is>
          <t>Sponsored scope, faculty match and IP terms; no automatic cash award.</t>
        </is>
      </c>
      <c r="M36" s="2" t="inlineStr">
        <is>
          <t>Contact now</t>
        </is>
      </c>
      <c r="N36" s="2" t="inlineStr">
        <is>
          <t>High</t>
        </is>
      </c>
      <c r="O36" s="2" t="inlineStr">
        <is>
          <t>No direct cash confirmed</t>
        </is>
      </c>
      <c r="P36" s="2" t="n">
        <v>4</v>
      </c>
      <c r="Q36" s="2" t="n">
        <v>4</v>
      </c>
      <c r="R36" s="2" t="n">
        <v>4</v>
      </c>
      <c r="S36" s="2" t="n">
        <v>80</v>
      </c>
      <c r="T36" s="2" t="inlineStr">
        <is>
          <t>partnerships@sutd.edu.sg</t>
        </is>
      </c>
      <c r="U36" s="3" t="inlineStr">
        <is>
          <t>https://www.sutd.edu.sg/contact-us/contact-sutd/</t>
        </is>
      </c>
      <c r="V36" s="3" t="inlineStr">
        <is>
          <t>https://www.sutd.edu.sg/about/partnering-with-sutd/</t>
        </is>
      </c>
      <c r="W36" s="2" t="inlineStr">
        <is>
          <t>2026-10-06</t>
        </is>
      </c>
      <c r="X36" s="2" t="inlineStr">
        <is>
          <t>Industry mailbox published</t>
        </is>
      </c>
      <c r="Y36" s="2" t="inlineStr">
        <is>
          <t>Request sensor-to-digital-twin research/capstone brief for a building pilot.</t>
        </is>
      </c>
      <c r="Z36" s="2" t="inlineStr">
        <is>
          <t>Not contacted</t>
        </is>
      </c>
      <c r="AA36" s="2" t="inlineStr">
        <is>
          <t>Dr. Vijendran + Kumar (proposed)</t>
        </is>
      </c>
    </row>
    <row r="37" ht="78" customHeight="1">
      <c r="A37" s="2" t="inlineStr">
        <is>
          <t>CC-036</t>
        </is>
      </c>
      <c r="B37" s="2" t="inlineStr">
        <is>
          <t>Meris</t>
        </is>
      </c>
      <c r="C37" s="2" t="inlineStr">
        <is>
          <t>Capital Cortex</t>
        </is>
      </c>
      <c r="D37" s="2" t="inlineStr">
        <is>
          <t>Singapore</t>
        </is>
      </c>
      <c r="E37" s="2" t="n">
        <v>3</v>
      </c>
      <c r="F37" s="2" t="n">
        <v>6</v>
      </c>
      <c r="G37" s="2" t="inlineStr">
        <is>
          <t>NUS Research Concierge</t>
        </is>
      </c>
      <c r="H37" s="2" t="inlineStr">
        <is>
          <t>Academia</t>
        </is>
      </c>
      <c r="I37" s="2" t="inlineStr">
        <is>
          <t>Research matchmaking / validation</t>
        </is>
      </c>
      <c r="J37" s="2" t="inlineStr">
        <is>
          <t>Energy / AQ / water / agriculture / healthcare</t>
        </is>
      </c>
      <c r="K37" s="2" t="inlineStr">
        <is>
          <t>Industry collaboration route</t>
        </is>
      </c>
      <c r="L37" s="2" t="inlineStr">
        <is>
          <t>Match faculty, scope, budget and IP before commitment.</t>
        </is>
      </c>
      <c r="M37" s="2" t="inlineStr">
        <is>
          <t>Contact now</t>
        </is>
      </c>
      <c r="N37" s="2" t="inlineStr">
        <is>
          <t>High</t>
        </is>
      </c>
      <c r="O37" s="2" t="inlineStr">
        <is>
          <t>No direct cash confirmed</t>
        </is>
      </c>
      <c r="P37" s="2" t="n">
        <v>4</v>
      </c>
      <c r="Q37" s="2" t="n">
        <v>4</v>
      </c>
      <c r="R37" s="2" t="n">
        <v>4</v>
      </c>
      <c r="S37" s="2" t="n">
        <v>80</v>
      </c>
      <c r="T37" s="2" t="inlineStr">
        <is>
          <t>researchconcierge@nus.edu.sg</t>
        </is>
      </c>
      <c r="U37" s="3" t="inlineStr">
        <is>
          <t>https://nus.edu.sg/research/odprt-home/research-concierge</t>
        </is>
      </c>
      <c r="V37" s="3" t="inlineStr">
        <is>
          <t>https://nus.edu.sg/research/odprt-home/research-concierge</t>
        </is>
      </c>
      <c r="W37" s="2" t="inlineStr">
        <is>
          <t>2026-10-06</t>
        </is>
      </c>
      <c r="X37" s="2" t="inlineStr">
        <is>
          <t>Public inquiry mailbox</t>
        </is>
      </c>
      <c r="Y37" s="2" t="inlineStr">
        <is>
          <t>Ask routing to NERI/SERIS or smart-facility group for outcome validation.</t>
        </is>
      </c>
      <c r="Z37" s="2" t="inlineStr">
        <is>
          <t>Not contacted</t>
        </is>
      </c>
      <c r="AA37" s="2" t="inlineStr">
        <is>
          <t>Dr. Vijendran + Kumar (proposed)</t>
        </is>
      </c>
    </row>
    <row r="38" ht="78" customHeight="1">
      <c r="A38" s="2" t="inlineStr">
        <is>
          <t>CC-037</t>
        </is>
      </c>
      <c r="B38" s="2" t="inlineStr">
        <is>
          <t>Meris</t>
        </is>
      </c>
      <c r="C38" s="2" t="inlineStr">
        <is>
          <t>Capital Cortex</t>
        </is>
      </c>
      <c r="D38" s="2" t="inlineStr">
        <is>
          <t>Singapore</t>
        </is>
      </c>
      <c r="E38" s="2" t="n">
        <v>3</v>
      </c>
      <c r="F38" s="2" t="n">
        <v>7</v>
      </c>
      <c r="G38" s="2" t="inlineStr">
        <is>
          <t>Singapore Green Building Council</t>
        </is>
      </c>
      <c r="H38" s="2" t="inlineStr">
        <is>
          <t>Industry consortium</t>
        </is>
      </c>
      <c r="I38" s="2" t="inlineStr">
        <is>
          <t>Buyer network / certification; no direct capital</t>
        </is>
      </c>
      <c r="J38" s="2" t="inlineStr">
        <is>
          <t>Buildings / hotels / hospitals / data centers</t>
        </is>
      </c>
      <c r="K38" s="2" t="inlineStr">
        <is>
          <t>Supplier membership route</t>
        </is>
      </c>
      <c r="L38" s="2" t="inlineStr">
        <is>
          <t>Fees and product certification applicability must be checked.</t>
        </is>
      </c>
      <c r="M38" s="2" t="inlineStr">
        <is>
          <t>Contact now</t>
        </is>
      </c>
      <c r="N38" s="2" t="inlineStr">
        <is>
          <t>High</t>
        </is>
      </c>
      <c r="O38" s="2" t="inlineStr">
        <is>
          <t>No direct cash confirmed</t>
        </is>
      </c>
      <c r="P38" s="2" t="n">
        <v>4</v>
      </c>
      <c r="Q38" s="2" t="n">
        <v>4</v>
      </c>
      <c r="R38" s="2" t="n">
        <v>4</v>
      </c>
      <c r="S38" s="2" t="n">
        <v>80</v>
      </c>
      <c r="T38" s="2" t="inlineStr">
        <is>
          <t>Membership team via contact page</t>
        </is>
      </c>
      <c r="U38" s="3" t="inlineStr">
        <is>
          <t>https://www.sgbc.sg/contact-us/</t>
        </is>
      </c>
      <c r="V38" s="3" t="inlineStr">
        <is>
          <t>https://www.sgbc.sg/membership/about-sgbc-membership/</t>
        </is>
      </c>
      <c r="W38" s="2" t="inlineStr">
        <is>
          <t>2026-10-06</t>
        </is>
      </c>
      <c r="X38" s="2" t="inlineStr">
        <is>
          <t>Membership route live</t>
        </is>
      </c>
      <c r="Y38" s="2" t="inlineStr">
        <is>
          <t>Request pilot-owner/ESCO introductions and applicable monitoring-product pathways.</t>
        </is>
      </c>
      <c r="Z38" s="2" t="inlineStr">
        <is>
          <t>Not contacted</t>
        </is>
      </c>
      <c r="AA38" s="2" t="inlineStr">
        <is>
          <t>Senthil + Balaji + Surya (proposed)</t>
        </is>
      </c>
    </row>
    <row r="39" ht="78" customHeight="1">
      <c r="A39" s="2" t="inlineStr">
        <is>
          <t>CC-038</t>
        </is>
      </c>
      <c r="B39" s="2" t="inlineStr">
        <is>
          <t>Meris</t>
        </is>
      </c>
      <c r="C39" s="2" t="inlineStr">
        <is>
          <t>Capital Cortex</t>
        </is>
      </c>
      <c r="D39" s="2" t="inlineStr">
        <is>
          <t>Singapore</t>
        </is>
      </c>
      <c r="E39" s="2" t="n">
        <v>3</v>
      </c>
      <c r="F39" s="2" t="n">
        <v>8</v>
      </c>
      <c r="G39" s="2" t="inlineStr">
        <is>
          <t>SGInnovate</t>
        </is>
      </c>
      <c r="H39" s="2" t="inlineStr">
        <is>
          <t>VC / ecosystem</t>
        </is>
      </c>
      <c r="I39" s="2" t="inlineStr">
        <is>
          <t>Deep-tech equity / corporate engagement</t>
        </is>
      </c>
      <c r="J39" s="2" t="inlineStr">
        <is>
          <t>AI / industrial / sustainability</t>
        </is>
      </c>
      <c r="K39" s="2" t="inlineStr">
        <is>
          <t>Early-stage deep-tech pathway</t>
        </is>
      </c>
      <c r="L39" s="2" t="inlineStr">
        <is>
          <t>Research depth, Singapore nexus and IP defensibility; routine SaaS weak fit.</t>
        </is>
      </c>
      <c r="M39" s="2" t="inlineStr">
        <is>
          <t>Contact now</t>
        </is>
      </c>
      <c r="N39" s="2" t="inlineStr">
        <is>
          <t>Medium</t>
        </is>
      </c>
      <c r="O39" s="2" t="inlineStr">
        <is>
          <t>No direct cash confirmed</t>
        </is>
      </c>
      <c r="P39" s="2" t="n">
        <v>4</v>
      </c>
      <c r="Q39" s="2" t="n">
        <v>3</v>
      </c>
      <c r="R39" s="2" t="n">
        <v>3</v>
      </c>
      <c r="S39" s="2" t="n">
        <v>70</v>
      </c>
      <c r="T39" s="2" t="inlineStr">
        <is>
          <t>Investment inquiry via official contact page</t>
        </is>
      </c>
      <c r="U39" s="3" t="inlineStr">
        <is>
          <t>https://www.sginnovate.com/contact-us</t>
        </is>
      </c>
      <c r="V39" s="3" t="inlineStr">
        <is>
          <t>https://www.sginnovate.com/our-approach</t>
        </is>
      </c>
      <c r="W39" s="2" t="inlineStr">
        <is>
          <t>2026-10-06</t>
        </is>
      </c>
      <c r="X39" s="2" t="inlineStr">
        <is>
          <t>Official strategy and contact route</t>
        </is>
      </c>
      <c r="Y39" s="2" t="inlineStr">
        <is>
          <t>Request fit-screen for proprietary anomaly/PdM models and Singapore validation partner.</t>
        </is>
      </c>
      <c r="Z39" s="2" t="inlineStr">
        <is>
          <t>Not contacted</t>
        </is>
      </c>
      <c r="AA39" s="2" t="inlineStr">
        <is>
          <t>Senthil + Dr. Vijendran (proposed)</t>
        </is>
      </c>
    </row>
    <row r="40" ht="78" customHeight="1">
      <c r="A40" s="2" t="inlineStr">
        <is>
          <t>CC-039</t>
        </is>
      </c>
      <c r="B40" s="2" t="inlineStr">
        <is>
          <t>Meris</t>
        </is>
      </c>
      <c r="C40" s="2" t="inlineStr">
        <is>
          <t>Capital Cortex</t>
        </is>
      </c>
      <c r="D40" s="2" t="inlineStr">
        <is>
          <t>Singapore</t>
        </is>
      </c>
      <c r="E40" s="2" t="n">
        <v>3</v>
      </c>
      <c r="F40" s="2" t="n">
        <v>9</v>
      </c>
      <c r="G40" s="2" t="inlineStr">
        <is>
          <t>SEEDS / Startup SG Equity</t>
        </is>
      </c>
      <c r="H40" s="2" t="inlineStr">
        <is>
          <t>Government co-investment</t>
        </is>
      </c>
      <c r="I40" s="2" t="inlineStr">
        <is>
          <t>Equity co-investment; not grant</t>
        </is>
      </c>
      <c r="J40" s="2" t="inlineStr">
        <is>
          <t>Deep tech / industrial / sustainability</t>
        </is>
      </c>
      <c r="K40" s="2" t="inlineStr">
        <is>
          <t>Early-stage Singapore-based tech</t>
        </is>
      </c>
      <c r="L40" s="2" t="inlineStr">
        <is>
          <t>Singapore-based investable business and private co-investor; no Singapore entity established in supplied context.</t>
        </is>
      </c>
      <c r="M40" s="2" t="inlineStr">
        <is>
          <t>Conditional screen</t>
        </is>
      </c>
      <c r="N40" s="2" t="inlineStr">
        <is>
          <t>Low</t>
        </is>
      </c>
      <c r="O40" s="2" t="inlineStr">
        <is>
          <t>No direct cash confirmed</t>
        </is>
      </c>
      <c r="P40" s="2" t="n">
        <v>4</v>
      </c>
      <c r="Q40" s="2" t="n">
        <v>2</v>
      </c>
      <c r="R40" s="2" t="n">
        <v>2</v>
      </c>
      <c r="S40" s="2" t="n">
        <v>60</v>
      </c>
      <c r="T40" s="2" t="inlineStr">
        <is>
          <t>Approach listed co-investment partners via SEEDS</t>
        </is>
      </c>
      <c r="U40" s="3" t="inlineStr">
        <is>
          <t>https://www.seedscapital.sg/</t>
        </is>
      </c>
      <c r="V40" s="3" t="inlineStr">
        <is>
          <t>https://www.seedscapital.sg/about-us/our-co-investment-model/</t>
        </is>
      </c>
      <c r="W40" s="2" t="inlineStr">
        <is>
          <t>2026-10-06</t>
        </is>
      </c>
      <c r="X40" s="2" t="inlineStr">
        <is>
          <t>Official scheme current; partner matching needed</t>
        </is>
      </c>
      <c r="Y40" s="2" t="inlineStr">
        <is>
          <t>Ask Wavemaker/SEEDS partner about local-entity and co-investment fit before applying.</t>
        </is>
      </c>
      <c r="Z40" s="2" t="inlineStr">
        <is>
          <t>Not contacted</t>
        </is>
      </c>
      <c r="AA40" s="2" t="inlineStr">
        <is>
          <t>Senthil + Dr. Vijendran (proposed)</t>
        </is>
      </c>
    </row>
    <row r="41" ht="78" customHeight="1">
      <c r="A41" s="2" t="inlineStr">
        <is>
          <t>CC-040</t>
        </is>
      </c>
      <c r="B41" s="2" t="inlineStr">
        <is>
          <t>Meris</t>
        </is>
      </c>
      <c r="C41" s="2" t="inlineStr">
        <is>
          <t>Capital Cortex</t>
        </is>
      </c>
      <c r="D41" s="2" t="inlineStr">
        <is>
          <t>Singapore</t>
        </is>
      </c>
      <c r="E41" s="2" t="n">
        <v>3</v>
      </c>
      <c r="F41" s="2" t="n">
        <v>10</v>
      </c>
      <c r="G41" s="2" t="inlineStr">
        <is>
          <t>Startup SG Tech</t>
        </is>
      </c>
      <c r="H41" s="2" t="inlineStr">
        <is>
          <t>Government grant</t>
        </is>
      </c>
      <c r="I41" s="2" t="inlineStr">
        <is>
          <t>POC / POV proprietary-technology support</t>
        </is>
      </c>
      <c r="J41" s="2" t="inlineStr">
        <is>
          <t>AI / IoT / industrial / energy</t>
        </is>
      </c>
      <c r="K41" s="2" t="inlineStr">
        <is>
          <t>Early-stage R&amp;D</t>
        </is>
      </c>
      <c r="L41" s="2" t="inlineStr">
        <is>
          <t>At least 30% local shareholding per official EDB overview; current detailed terms and Singapore incorporation to confirm.</t>
        </is>
      </c>
      <c r="M41" s="2" t="inlineStr">
        <is>
          <t>Eligibility gate first</t>
        </is>
      </c>
      <c r="N41" s="2" t="inlineStr">
        <is>
          <t>Very low</t>
        </is>
      </c>
      <c r="O41" s="2" t="inlineStr">
        <is>
          <t>Very low until gates cleared</t>
        </is>
      </c>
      <c r="P41" s="2" t="n">
        <v>4</v>
      </c>
      <c r="Q41" s="2" t="n">
        <v>1</v>
      </c>
      <c r="R41" s="2" t="n">
        <v>2</v>
      </c>
      <c r="S41" s="2" t="n">
        <v>54</v>
      </c>
      <c r="T41" s="2" t="inlineStr">
        <is>
          <t>EnterpriseSG / Startup SG programme inquiry</t>
        </is>
      </c>
      <c r="U41" s="3" t="inlineStr">
        <is>
          <t>https://www.startupsg.gov.sg/programmes/</t>
        </is>
      </c>
      <c r="V41" s="3" t="inlineStr">
        <is>
          <t>https://www.edb.gov.sg/en/business-insights/insights/partners-programmes-to-accelerate-your-startup-s-trajectory-in-singapore.html</t>
        </is>
      </c>
      <c r="W41" s="2" t="inlineStr">
        <is>
          <t>2026-10-06</t>
        </is>
      </c>
      <c r="X41" s="2" t="inlineStr">
        <is>
          <t>Programme listed; intake unverified</t>
        </is>
      </c>
      <c r="Y41" s="2" t="inlineStr">
        <is>
          <t>Request current eligibility guidance; no application until local equity/IP structure qualifies.</t>
        </is>
      </c>
      <c r="Z41" s="2" t="inlineStr">
        <is>
          <t>Not contacted</t>
        </is>
      </c>
      <c r="AA41" s="2" t="inlineStr">
        <is>
          <t>Senthil + Dr. Vijendran (proposed)</t>
        </is>
      </c>
    </row>
    <row r="42" ht="78" customHeight="1">
      <c r="A42" s="2" t="inlineStr">
        <is>
          <t>CC-041</t>
        </is>
      </c>
      <c r="B42" s="2" t="inlineStr">
        <is>
          <t>Meris</t>
        </is>
      </c>
      <c r="C42" s="2" t="inlineStr">
        <is>
          <t>Capital Cortex</t>
        </is>
      </c>
      <c r="D42" s="2" t="inlineStr">
        <is>
          <t>Singapore</t>
        </is>
      </c>
      <c r="E42" s="2" t="n">
        <v>3</v>
      </c>
      <c r="F42" s="2" t="n">
        <v>11</v>
      </c>
      <c r="G42" s="2" t="inlineStr">
        <is>
          <t>Navis Capital Partners</t>
        </is>
      </c>
      <c r="H42" s="2" t="inlineStr">
        <is>
          <t>PE</t>
        </is>
      </c>
      <c r="I42" s="2" t="inlineStr">
        <is>
          <t>Control equity / portfolio partnership</t>
        </is>
      </c>
      <c r="J42" s="2" t="inlineStr">
        <is>
          <t>Industrial / services / technology</t>
        </is>
      </c>
      <c r="K42" s="2" t="inlineStr">
        <is>
          <t>Current direct capital fit very low (analyst view)</t>
        </is>
      </c>
      <c r="L42" s="2" t="inlineStr">
        <is>
          <t>Control PE strategy; startup seed offer not verified.</t>
        </is>
      </c>
      <c r="M42" s="2" t="inlineStr">
        <is>
          <t>Later / portfolio route</t>
        </is>
      </c>
      <c r="N42" s="2" t="inlineStr">
        <is>
          <t>Very low</t>
        </is>
      </c>
      <c r="O42" s="2" t="inlineStr">
        <is>
          <t>Very low / defer</t>
        </is>
      </c>
      <c r="P42" s="2" t="n">
        <v>3</v>
      </c>
      <c r="Q42" s="2" t="n">
        <v>1</v>
      </c>
      <c r="R42" s="2" t="n">
        <v>1</v>
      </c>
      <c r="S42" s="2" t="n">
        <v>40</v>
      </c>
      <c r="T42" s="2" t="inlineStr">
        <is>
          <t>Singapore office through official contact page</t>
        </is>
      </c>
      <c r="U42" s="3" t="inlineStr">
        <is>
          <t>https://www.naviscapital.com/contact-us/</t>
        </is>
      </c>
      <c r="V42" s="3" t="inlineStr">
        <is>
          <t>https://www.naviscapital.com/private-equity/the-navis-approach/</t>
        </is>
      </c>
      <c r="W42" s="2" t="inlineStr">
        <is>
          <t>2026-10-06</t>
        </is>
      </c>
      <c r="X42" s="2" t="inlineStr">
        <is>
          <t>Official PE strategy and contact page</t>
        </is>
      </c>
      <c r="Y42" s="2" t="inlineStr">
        <is>
          <t>Request industrial portfolio technology-pilot introduction after case-study proof.</t>
        </is>
      </c>
      <c r="Z42" s="2" t="inlineStr">
        <is>
          <t>Not contacted</t>
        </is>
      </c>
      <c r="AA42" s="2" t="inlineStr">
        <is>
          <t>Senthil + Dr. Vijendran (proposed)</t>
        </is>
      </c>
    </row>
    <row r="43" ht="78" customHeight="1">
      <c r="A43" s="2" t="inlineStr">
        <is>
          <t>CC-042</t>
        </is>
      </c>
      <c r="B43" s="2" t="inlineStr">
        <is>
          <t>Meris</t>
        </is>
      </c>
      <c r="C43" s="2" t="inlineStr">
        <is>
          <t>Capital Cortex</t>
        </is>
      </c>
      <c r="D43" s="2" t="inlineStr">
        <is>
          <t>India</t>
        </is>
      </c>
      <c r="E43" s="2" t="n">
        <v>4</v>
      </c>
      <c r="F43" s="2" t="n">
        <v>1</v>
      </c>
      <c r="G43" s="2" t="inlineStr">
        <is>
          <t>IIT Madras Research Park Energy &amp; Sustainability</t>
        </is>
      </c>
      <c r="H43" s="2" t="inlineStr">
        <is>
          <t>Academia / ecosystem</t>
        </is>
      </c>
      <c r="I43" s="2" t="inlineStr">
        <is>
          <t>Validation / industry co-development</t>
        </is>
      </c>
      <c r="J43" s="2" t="inlineStr">
        <is>
          <t>Energy / factories / buildings</t>
        </is>
      </c>
      <c r="K43" s="2" t="inlineStr">
        <is>
          <t>Industry collaboration route</t>
        </is>
      </c>
      <c r="L43" s="2" t="inlineStr">
        <is>
          <t>Project scope, lab costs and IP; no grant guarantee.</t>
        </is>
      </c>
      <c r="M43" s="2" t="inlineStr">
        <is>
          <t>Contact now</t>
        </is>
      </c>
      <c r="N43" s="2" t="inlineStr">
        <is>
          <t>High</t>
        </is>
      </c>
      <c r="O43" s="2" t="inlineStr">
        <is>
          <t>No direct cash confirmed</t>
        </is>
      </c>
      <c r="P43" s="2" t="n">
        <v>5</v>
      </c>
      <c r="Q43" s="2" t="n">
        <v>4</v>
      </c>
      <c r="R43" s="2" t="n">
        <v>4</v>
      </c>
      <c r="S43" s="2" t="n">
        <v>90</v>
      </c>
      <c r="T43" s="2" t="inlineStr">
        <is>
          <t>energy@respark.iitm.ac.in</t>
        </is>
      </c>
      <c r="U43" s="3" t="inlineStr">
        <is>
          <t>https://respark.iitm.ac.in/energy-sustainability</t>
        </is>
      </c>
      <c r="V43" s="3" t="inlineStr">
        <is>
          <t>https://respark.iitm.ac.in/energy-sustainability</t>
        </is>
      </c>
      <c r="W43" s="2" t="inlineStr">
        <is>
          <t>2026-10-06</t>
        </is>
      </c>
      <c r="X43" s="2" t="inlineStr">
        <is>
          <t>Dedicated energy mailbox published</t>
        </is>
      </c>
      <c r="Y43" s="2" t="inlineStr">
        <is>
          <t>Request CK/ESG measurement-validation partner and industrial energy pilot.</t>
        </is>
      </c>
      <c r="Z43" s="2" t="inlineStr">
        <is>
          <t>Not contacted</t>
        </is>
      </c>
      <c r="AA43" s="2" t="inlineStr">
        <is>
          <t>Dr. Vijendran + Kumar (proposed)</t>
        </is>
      </c>
    </row>
    <row r="44" ht="78" customHeight="1">
      <c r="A44" s="2" t="inlineStr">
        <is>
          <t>CC-043</t>
        </is>
      </c>
      <c r="B44" s="2" t="inlineStr">
        <is>
          <t>Meris</t>
        </is>
      </c>
      <c r="C44" s="2" t="inlineStr">
        <is>
          <t>Capital Cortex</t>
        </is>
      </c>
      <c r="D44" s="2" t="inlineStr">
        <is>
          <t>India</t>
        </is>
      </c>
      <c r="E44" s="2" t="n">
        <v>4</v>
      </c>
      <c r="F44" s="2" t="n">
        <v>2</v>
      </c>
      <c r="G44" s="2" t="inlineStr">
        <is>
          <t>IIT Madras Incubation Cell</t>
        </is>
      </c>
      <c r="H44" s="2" t="inlineStr">
        <is>
          <t>Academia / incubator</t>
        </is>
      </c>
      <c r="I44" s="2" t="inlineStr">
        <is>
          <t>Incubation / investor introductions</t>
        </is>
      </c>
      <c r="J44" s="2" t="inlineStr">
        <is>
          <t>Deep tech / climate / health / industrial</t>
        </is>
      </c>
      <c r="K44" s="2" t="inlineStr">
        <is>
          <t>Startup incubation; acceptance discretionary</t>
        </is>
      </c>
      <c r="L44" s="2" t="inlineStr">
        <is>
          <t>Current intake and entity/IP rules; specific Oct5 2026 grant call has passed per official social post, not assumed open.</t>
        </is>
      </c>
      <c r="M44" s="2" t="inlineStr">
        <is>
          <t>Contact now</t>
        </is>
      </c>
      <c r="N44" s="2" t="inlineStr">
        <is>
          <t>High</t>
        </is>
      </c>
      <c r="O44" s="2" t="inlineStr">
        <is>
          <t>No direct cash confirmed</t>
        </is>
      </c>
      <c r="P44" s="2" t="n">
        <v>5</v>
      </c>
      <c r="Q44" s="2" t="n">
        <v>4</v>
      </c>
      <c r="R44" s="2" t="n">
        <v>4</v>
      </c>
      <c r="S44" s="2" t="n">
        <v>90</v>
      </c>
      <c r="T44" s="2" t="inlineStr">
        <is>
          <t>office@incubation.iitm.ac.in</t>
        </is>
      </c>
      <c r="U44" s="3" t="inlineStr">
        <is>
          <t>https://respark.iitm.ac.in/startups</t>
        </is>
      </c>
      <c r="V44" s="3" t="inlineStr">
        <is>
          <t>https://www.iitm.ac.in/research-park/incubation-cell</t>
        </is>
      </c>
      <c r="W44" s="2" t="inlineStr">
        <is>
          <t>2026-10-06</t>
        </is>
      </c>
      <c r="X44" s="2" t="inlineStr">
        <is>
          <t>General incubation inquiry available; programme-specific deadlines to check</t>
        </is>
      </c>
      <c r="Y44" s="2" t="inlineStr">
        <is>
          <t>Ask admission fit for IIL/US licensed-IP structure and available seed routes.</t>
        </is>
      </c>
      <c r="Z44" s="2" t="inlineStr">
        <is>
          <t>Not contacted</t>
        </is>
      </c>
      <c r="AA44" s="2" t="inlineStr">
        <is>
          <t>Dr. Vijendran + Kumar (proposed)</t>
        </is>
      </c>
    </row>
    <row r="45" ht="78" customHeight="1">
      <c r="A45" s="2" t="inlineStr">
        <is>
          <t>CC-044</t>
        </is>
      </c>
      <c r="B45" s="2" t="inlineStr">
        <is>
          <t>Meris</t>
        </is>
      </c>
      <c r="C45" s="2" t="inlineStr">
        <is>
          <t>Capital Cortex</t>
        </is>
      </c>
      <c r="D45" s="2" t="inlineStr">
        <is>
          <t>India</t>
        </is>
      </c>
      <c r="E45" s="2" t="n">
        <v>4</v>
      </c>
      <c r="F45" s="2" t="n">
        <v>3</v>
      </c>
      <c r="G45" s="2" t="inlineStr">
        <is>
          <t>MeitY–nasscom CoE IoT &amp; AI</t>
        </is>
      </c>
      <c r="H45" s="2" t="inlineStr">
        <is>
          <t>Industry / government ecosystem</t>
        </is>
      </c>
      <c r="I45" s="2" t="inlineStr">
        <is>
          <t>Incubation / industry problem matching</t>
        </is>
      </c>
      <c r="J45" s="2" t="inlineStr">
        <is>
          <t>Manufacturing / health / AIoT / data centers</t>
        </is>
      </c>
      <c r="K45" s="2" t="inlineStr">
        <is>
          <t>Indian deep-tech startup pathway</t>
        </is>
      </c>
      <c r="L45" s="2" t="inlineStr">
        <is>
          <t>Indian entity and programme rules; equity/fees/current intake confirm.</t>
        </is>
      </c>
      <c r="M45" s="2" t="inlineStr">
        <is>
          <t>Contact now</t>
        </is>
      </c>
      <c r="N45" s="2" t="inlineStr">
        <is>
          <t>High</t>
        </is>
      </c>
      <c r="O45" s="2" t="inlineStr">
        <is>
          <t>No direct cash confirmed</t>
        </is>
      </c>
      <c r="P45" s="2" t="n">
        <v>5</v>
      </c>
      <c r="Q45" s="2" t="n">
        <v>4</v>
      </c>
      <c r="R45" s="2" t="n">
        <v>4</v>
      </c>
      <c r="S45" s="2" t="n">
        <v>90</v>
      </c>
      <c r="T45" s="2" t="inlineStr">
        <is>
          <t>coe-iot@nasscom.in</t>
        </is>
      </c>
      <c r="U45" s="3" t="inlineStr">
        <is>
          <t>https://startupharyana.gov.in/front/incubator/dbeab2eb-1777-4119-b5b1-5affdef89a10</t>
        </is>
      </c>
      <c r="V45" s="3" t="inlineStr">
        <is>
          <t>https://startupharyana.gov.in/front/incubator/dbeab2eb-1777-4119-b5b1-5affdef89a10</t>
        </is>
      </c>
      <c r="W45" s="2" t="inlineStr">
        <is>
          <t>2026-10-06</t>
        </is>
      </c>
      <c r="X45" s="2" t="inlineStr">
        <is>
          <t>Official government incubator contact listed</t>
        </is>
      </c>
      <c r="Y45" s="2" t="inlineStr">
        <is>
          <t>Request corporate pilot matchmaking for industrial anomaly/PdM and infrastructure ESG.</t>
        </is>
      </c>
      <c r="Z45" s="2" t="inlineStr">
        <is>
          <t>Not contacted</t>
        </is>
      </c>
      <c r="AA45" s="2" t="inlineStr">
        <is>
          <t>Senthil + Dr. Vijendran (proposed)</t>
        </is>
      </c>
    </row>
    <row r="46" ht="78" customHeight="1">
      <c r="A46" s="2" t="inlineStr">
        <is>
          <t>CC-045</t>
        </is>
      </c>
      <c r="B46" s="2" t="inlineStr">
        <is>
          <t>Meris</t>
        </is>
      </c>
      <c r="C46" s="2" t="inlineStr">
        <is>
          <t>Capital Cortex</t>
        </is>
      </c>
      <c r="D46" s="2" t="inlineStr">
        <is>
          <t>India</t>
        </is>
      </c>
      <c r="E46" s="2" t="n">
        <v>4</v>
      </c>
      <c r="F46" s="2" t="n">
        <v>4</v>
      </c>
      <c r="G46" s="2" t="inlineStr">
        <is>
          <t>CII Indian Green Building Council</t>
        </is>
      </c>
      <c r="H46" s="2" t="inlineStr">
        <is>
          <t>Industry consortium</t>
        </is>
      </c>
      <c r="I46" s="2" t="inlineStr">
        <is>
          <t>Owner network / certification; no seed capital</t>
        </is>
      </c>
      <c r="J46" s="2" t="inlineStr">
        <is>
          <t>Hotels / hospitals / residential / data centers</t>
        </is>
      </c>
      <c r="K46" s="2" t="inlineStr">
        <is>
          <t>Supplier ecosystem route</t>
        </is>
      </c>
      <c r="L46" s="2" t="inlineStr">
        <is>
          <t>Membership fees; solutions must meet actual certification scope.</t>
        </is>
      </c>
      <c r="M46" s="2" t="inlineStr">
        <is>
          <t>Contact now</t>
        </is>
      </c>
      <c r="N46" s="2" t="inlineStr">
        <is>
          <t>High</t>
        </is>
      </c>
      <c r="O46" s="2" t="inlineStr">
        <is>
          <t>No direct cash confirmed</t>
        </is>
      </c>
      <c r="P46" s="2" t="n">
        <v>5</v>
      </c>
      <c r="Q46" s="2" t="n">
        <v>4</v>
      </c>
      <c r="R46" s="2" t="n">
        <v>4</v>
      </c>
      <c r="S46" s="2" t="n">
        <v>90</v>
      </c>
      <c r="T46" s="2" t="inlineStr">
        <is>
          <t>igbc@cii.in</t>
        </is>
      </c>
      <c r="U46" s="3" t="inlineStr">
        <is>
          <t>https://www.igbc.in/contact-us</t>
        </is>
      </c>
      <c r="V46" s="3" t="inlineStr">
        <is>
          <t>https://www.igbc.in/organisational-membership</t>
        </is>
      </c>
      <c r="W46" s="2" t="inlineStr">
        <is>
          <t>2026-10-06</t>
        </is>
      </c>
      <c r="X46" s="2" t="inlineStr">
        <is>
          <t>Official membership/contact</t>
        </is>
      </c>
      <c r="Y46" s="2" t="inlineStr">
        <is>
          <t>Ask Tamil Nadu pilot-owner and consultant introductions for energy/AQ/comfort measurements.</t>
        </is>
      </c>
      <c r="Z46" s="2" t="inlineStr">
        <is>
          <t>Not contacted</t>
        </is>
      </c>
      <c r="AA46" s="2" t="inlineStr">
        <is>
          <t>Senthil + Balaji + Surya (proposed)</t>
        </is>
      </c>
    </row>
    <row r="47" ht="78" customHeight="1">
      <c r="A47" s="2" t="inlineStr">
        <is>
          <t>CC-046</t>
        </is>
      </c>
      <c r="B47" s="2" t="inlineStr">
        <is>
          <t>Meris</t>
        </is>
      </c>
      <c r="C47" s="2" t="inlineStr">
        <is>
          <t>Capital Cortex</t>
        </is>
      </c>
      <c r="D47" s="2" t="inlineStr">
        <is>
          <t>India</t>
        </is>
      </c>
      <c r="E47" s="2" t="n">
        <v>4</v>
      </c>
      <c r="F47" s="2" t="n">
        <v>5</v>
      </c>
      <c r="G47" s="2" t="inlineStr">
        <is>
          <t>Transition VC</t>
        </is>
      </c>
      <c r="H47" s="2" t="inlineStr">
        <is>
          <t>VC</t>
        </is>
      </c>
      <c r="I47" s="2" t="inlineStr">
        <is>
          <t>Equity</t>
        </is>
      </c>
      <c r="J47" s="2" t="inlineStr">
        <is>
          <t>Energy transition / industrial / climate</t>
        </is>
      </c>
      <c r="K47" s="2" t="inlineStr">
        <is>
          <t>Pre-seed to Series A stated</t>
        </is>
      </c>
      <c r="L47" s="2" t="inlineStr">
        <is>
          <t>Indian deployment case; defensible energy impact and investable entity/IP.</t>
        </is>
      </c>
      <c r="M47" s="2" t="inlineStr">
        <is>
          <t>Contact now</t>
        </is>
      </c>
      <c r="N47" s="2" t="inlineStr">
        <is>
          <t>Medium</t>
        </is>
      </c>
      <c r="O47" s="2" t="inlineStr">
        <is>
          <t>Low to medium / competitive</t>
        </is>
      </c>
      <c r="P47" s="2" t="n">
        <v>5</v>
      </c>
      <c r="Q47" s="2" t="n">
        <v>3</v>
      </c>
      <c r="R47" s="2" t="n">
        <v>3</v>
      </c>
      <c r="S47" s="2" t="n">
        <v>80</v>
      </c>
      <c r="T47" s="2" t="inlineStr">
        <is>
          <t>Investment team via contact form</t>
        </is>
      </c>
      <c r="U47" s="3" t="inlineStr">
        <is>
          <t>https://www.transitionventurecapital.com/contact</t>
        </is>
      </c>
      <c r="V47" s="3" t="inlineStr">
        <is>
          <t>https://www.transitionventurecapital.com/</t>
        </is>
      </c>
      <c r="W47" s="2" t="inlineStr">
        <is>
          <t>2026-10-06</t>
        </is>
      </c>
      <c r="X47" s="2" t="inlineStr">
        <is>
          <t>Official mandate and contact route</t>
        </is>
      </c>
      <c r="Y47" s="2" t="inlineStr">
        <is>
          <t>Pitch one industrial/building conservation wedge and first paid-pilot milestones.</t>
        </is>
      </c>
      <c r="Z47" s="2" t="inlineStr">
        <is>
          <t>Not contacted</t>
        </is>
      </c>
      <c r="AA47" s="2" t="inlineStr">
        <is>
          <t>Senthil + Dr. Vijendran (proposed)</t>
        </is>
      </c>
    </row>
    <row r="48" ht="78" customHeight="1">
      <c r="A48" s="2" t="inlineStr">
        <is>
          <t>CC-047</t>
        </is>
      </c>
      <c r="B48" s="2" t="inlineStr">
        <is>
          <t>Meris</t>
        </is>
      </c>
      <c r="C48" s="2" t="inlineStr">
        <is>
          <t>Capital Cortex</t>
        </is>
      </c>
      <c r="D48" s="2" t="inlineStr">
        <is>
          <t>India</t>
        </is>
      </c>
      <c r="E48" s="2" t="n">
        <v>4</v>
      </c>
      <c r="F48" s="2" t="n">
        <v>6</v>
      </c>
      <c r="G48" s="2" t="inlineStr">
        <is>
          <t>BEE Energy Efficiency Financing Platform</t>
        </is>
      </c>
      <c r="H48" s="2" t="inlineStr">
        <is>
          <t>Government / industry network</t>
        </is>
      </c>
      <c r="I48" s="2" t="inlineStr">
        <is>
          <t>Customer project finance facilitation</t>
        </is>
      </c>
      <c r="J48" s="2" t="inlineStr">
        <is>
          <t>Factories / buildings / MSMEs</t>
        </is>
      </c>
      <c r="K48" s="2" t="inlineStr">
        <is>
          <t>Technology supplier/ESCO route</t>
        </is>
      </c>
      <c r="L48" s="2" t="inlineStr">
        <is>
          <t>Not a grant to Inspironics; qualifying customer project and finance appraisal needed.</t>
        </is>
      </c>
      <c r="M48" s="2" t="inlineStr">
        <is>
          <t>Contact now</t>
        </is>
      </c>
      <c r="N48" s="2" t="inlineStr">
        <is>
          <t>Medium</t>
        </is>
      </c>
      <c r="O48" s="2" t="inlineStr">
        <is>
          <t>No direct cash confirmed</t>
        </is>
      </c>
      <c r="P48" s="2" t="n">
        <v>5</v>
      </c>
      <c r="Q48" s="2" t="n">
        <v>3</v>
      </c>
      <c r="R48" s="2" t="n">
        <v>3</v>
      </c>
      <c r="S48" s="2" t="n">
        <v>80</v>
      </c>
      <c r="T48" s="2" t="inlineStr">
        <is>
          <t>Sunil Kumar Verma | sk.verma@beeindia.gov.in | 011-26766700</t>
        </is>
      </c>
      <c r="U48" s="3" t="inlineStr">
        <is>
          <t>https://www.beeindia.gov.in/show_content.php?lang=1&amp;level=2&amp;lid=419&amp;ls_id=344</t>
        </is>
      </c>
      <c r="V48" s="3" t="inlineStr">
        <is>
          <t>https://www.beeindia.gov.in/show_content.php?lang=1&amp;level=2&amp;lid=419&amp;ls_id=344</t>
        </is>
      </c>
      <c r="W48" s="2" t="inlineStr">
        <is>
          <t>2026-10-06</t>
        </is>
      </c>
      <c r="X48" s="2" t="inlineStr">
        <is>
          <t>Official finance programme and officer contact</t>
        </is>
      </c>
      <c r="Y48" s="2" t="inlineStr">
        <is>
          <t>Ask technology-provider participation and ESCO/MSME pilot financing introductions.</t>
        </is>
      </c>
      <c r="Z48" s="2" t="inlineStr">
        <is>
          <t>Not contacted</t>
        </is>
      </c>
      <c r="AA48" s="2" t="inlineStr">
        <is>
          <t>Senthil + Dr. Vijendran (proposed)</t>
        </is>
      </c>
    </row>
    <row r="49" ht="78" customHeight="1">
      <c r="A49" s="2" t="inlineStr">
        <is>
          <t>CC-048</t>
        </is>
      </c>
      <c r="B49" s="2" t="inlineStr">
        <is>
          <t>Meris</t>
        </is>
      </c>
      <c r="C49" s="2" t="inlineStr">
        <is>
          <t>Capital Cortex</t>
        </is>
      </c>
      <c r="D49" s="2" t="inlineStr">
        <is>
          <t>India</t>
        </is>
      </c>
      <c r="E49" s="2" t="n">
        <v>4</v>
      </c>
      <c r="F49" s="2" t="n">
        <v>7</v>
      </c>
      <c r="G49" s="2" t="inlineStr">
        <is>
          <t>Speciale Invest</t>
        </is>
      </c>
      <c r="H49" s="2" t="inlineStr">
        <is>
          <t>VC</t>
        </is>
      </c>
      <c r="I49" s="2" t="inlineStr">
        <is>
          <t>Equity</t>
        </is>
      </c>
      <c r="J49" s="2" t="inlineStr">
        <is>
          <t>Deep-tech hardware / software / AI</t>
        </is>
      </c>
      <c r="K49" s="2" t="inlineStr">
        <is>
          <t>Deep-tech early-stage candidate; current stage screen needed</t>
        </is>
      </c>
      <c r="L49" s="2" t="inlineStr">
        <is>
          <t>Proprietary engineering innovation required; generic multi-product SaaS weak fit.</t>
        </is>
      </c>
      <c r="M49" s="2" t="inlineStr">
        <is>
          <t>Contact now</t>
        </is>
      </c>
      <c r="N49" s="2" t="inlineStr">
        <is>
          <t>Medium</t>
        </is>
      </c>
      <c r="O49" s="2" t="inlineStr">
        <is>
          <t>Low to medium / competitive</t>
        </is>
      </c>
      <c r="P49" s="2" t="n">
        <v>4</v>
      </c>
      <c r="Q49" s="2" t="n">
        <v>3</v>
      </c>
      <c r="R49" s="2" t="n">
        <v>3</v>
      </c>
      <c r="S49" s="2" t="n">
        <v>70</v>
      </c>
      <c r="T49" s="2" t="inlineStr">
        <is>
          <t>info@specialeinvest.com</t>
        </is>
      </c>
      <c r="U49" s="3" t="inlineStr">
        <is>
          <t>https://www.specialeinvest.com/contact</t>
        </is>
      </c>
      <c r="V49" s="3" t="inlineStr">
        <is>
          <t>https://www.specialeinvest.com/about</t>
        </is>
      </c>
      <c r="W49" s="2" t="inlineStr">
        <is>
          <t>2026-10-06</t>
        </is>
      </c>
      <c r="X49" s="2" t="inlineStr">
        <is>
          <t>Official contact route</t>
        </is>
      </c>
      <c r="Y49" s="2" t="inlineStr">
        <is>
          <t>Request screening of core sensor intelligence and PdM model IP with technical demo.</t>
        </is>
      </c>
      <c r="Z49" s="2" t="inlineStr">
        <is>
          <t>Not contacted</t>
        </is>
      </c>
      <c r="AA49" s="2" t="inlineStr">
        <is>
          <t>Senthil + Dr. Vijendran (proposed)</t>
        </is>
      </c>
    </row>
    <row r="50" ht="78" customHeight="1">
      <c r="A50" s="2" t="inlineStr">
        <is>
          <t>CC-049</t>
        </is>
      </c>
      <c r="B50" s="2" t="inlineStr">
        <is>
          <t>Meris</t>
        </is>
      </c>
      <c r="C50" s="2" t="inlineStr">
        <is>
          <t>Capital Cortex</t>
        </is>
      </c>
      <c r="D50" s="2" t="inlineStr">
        <is>
          <t>India</t>
        </is>
      </c>
      <c r="E50" s="2" t="n">
        <v>4</v>
      </c>
      <c r="F50" s="2" t="n">
        <v>8</v>
      </c>
      <c r="G50" s="2" t="inlineStr">
        <is>
          <t>Anicut Seed Fund</t>
        </is>
      </c>
      <c r="H50" s="2" t="inlineStr">
        <is>
          <t>VC / angel platform</t>
        </is>
      </c>
      <c r="I50" s="2" t="inlineStr">
        <is>
          <t>Seed equity</t>
        </is>
      </c>
      <c r="J50" s="2" t="inlineStr">
        <is>
          <t>B2B / SaaS / industrial</t>
        </is>
      </c>
      <c r="K50" s="2" t="inlineStr">
        <is>
          <t>Seed to pre-Series A stated</t>
        </is>
      </c>
      <c r="L50" s="2" t="inlineStr">
        <is>
          <t>Seed mandate not proof of pre-revenue acceptance; unit economics and India entity/IP clarity.</t>
        </is>
      </c>
      <c r="M50" s="2" t="inlineStr">
        <is>
          <t>Contact now</t>
        </is>
      </c>
      <c r="N50" s="2" t="inlineStr">
        <is>
          <t>Medium</t>
        </is>
      </c>
      <c r="O50" s="2" t="inlineStr">
        <is>
          <t>Low to medium / competitive</t>
        </is>
      </c>
      <c r="P50" s="2" t="n">
        <v>4</v>
      </c>
      <c r="Q50" s="2" t="n">
        <v>3</v>
      </c>
      <c r="R50" s="2" t="n">
        <v>3</v>
      </c>
      <c r="S50" s="2" t="n">
        <v>70</v>
      </c>
      <c r="T50" s="2" t="inlineStr">
        <is>
          <t>reachus@anicutcapital.com</t>
        </is>
      </c>
      <c r="U50" s="3" t="inlineStr">
        <is>
          <t>https://www.anicutcapital.com/contact/</t>
        </is>
      </c>
      <c r="V50" s="3" t="inlineStr">
        <is>
          <t>https://www.anicutcapital.com/seed/</t>
        </is>
      </c>
      <c r="W50" s="2" t="inlineStr">
        <is>
          <t>2026-10-06</t>
        </is>
      </c>
      <c r="X50" s="2" t="inlineStr">
        <is>
          <t>Official seed strategy/contact</t>
        </is>
      </c>
      <c r="Y50" s="2" t="inlineStr">
        <is>
          <t>Ask pre-revenue stage-fit for a tightly scoped commercial launch round.</t>
        </is>
      </c>
      <c r="Z50" s="2" t="inlineStr">
        <is>
          <t>Not contacted</t>
        </is>
      </c>
      <c r="AA50" s="2" t="inlineStr">
        <is>
          <t>Senthil + Dr. Vijendran (proposed)</t>
        </is>
      </c>
    </row>
    <row r="51" ht="78" customHeight="1">
      <c r="A51" s="2" t="inlineStr">
        <is>
          <t>CC-050</t>
        </is>
      </c>
      <c r="B51" s="2" t="inlineStr">
        <is>
          <t>Meris</t>
        </is>
      </c>
      <c r="C51" s="2" t="inlineStr">
        <is>
          <t>Capital Cortex</t>
        </is>
      </c>
      <c r="D51" s="2" t="inlineStr">
        <is>
          <t>India</t>
        </is>
      </c>
      <c r="E51" s="2" t="n">
        <v>4</v>
      </c>
      <c r="F51" s="2" t="n">
        <v>9</v>
      </c>
      <c r="G51" s="2" t="inlineStr">
        <is>
          <t>StartupTN TANSEED</t>
        </is>
      </c>
      <c r="H51" s="2" t="inlineStr">
        <is>
          <t>State seed support</t>
        </is>
      </c>
      <c r="I51" s="2" t="inlineStr">
        <is>
          <t>Equity-linked support; current terms needed</t>
        </is>
      </c>
      <c r="J51" s="2" t="inlineStr">
        <is>
          <t>Climate / rural / agriculture / technology</t>
        </is>
      </c>
      <c r="K51" s="2" t="inlineStr">
        <is>
          <t>Early-stage programme</t>
        </is>
      </c>
      <c r="L51" s="2" t="inlineStr">
        <is>
          <t>TN registration/operations, StartupTN/DPIIT and ownership rules need current confirmation; foreign founder and IIL entity to screen.</t>
        </is>
      </c>
      <c r="M51" s="2" t="inlineStr">
        <is>
          <t>Conditional screen</t>
        </is>
      </c>
      <c r="N51" s="2" t="inlineStr">
        <is>
          <t>Low</t>
        </is>
      </c>
      <c r="O51" s="2" t="inlineStr">
        <is>
          <t>Very low until gates cleared</t>
        </is>
      </c>
      <c r="P51" s="2" t="n">
        <v>4</v>
      </c>
      <c r="Q51" s="2" t="n">
        <v>2</v>
      </c>
      <c r="R51" s="2" t="n">
        <v>2</v>
      </c>
      <c r="S51" s="2" t="n">
        <v>60</v>
      </c>
      <c r="T51" s="2" t="inlineStr">
        <is>
          <t>tanseed@startuptn.in</t>
        </is>
      </c>
      <c r="U51" s="3" t="inlineStr">
        <is>
          <t>https://startuptn.in/</t>
        </is>
      </c>
      <c r="V51" s="3" t="inlineStr">
        <is>
          <t>https://www.startupindia.gov.in/srf/portal/SRF_2022_Result_page/Tamil_Nadu.pdf</t>
        </is>
      </c>
      <c r="W51" s="2" t="inlineStr">
        <is>
          <t>2026-10-06</t>
        </is>
      </c>
      <c r="X51" s="2" t="inlineStr">
        <is>
          <t>Previous rounds evidenced; current call unverified</t>
        </is>
      </c>
      <c r="Y51" s="2" t="inlineStr">
        <is>
          <t>Ask eligibility of current IIL structure and next round, including equity terms.</t>
        </is>
      </c>
      <c r="Z51" s="2" t="inlineStr">
        <is>
          <t>Not contacted</t>
        </is>
      </c>
      <c r="AA51" s="2" t="inlineStr">
        <is>
          <t>Senthil + Dr. Vijendran (proposed)</t>
        </is>
      </c>
    </row>
    <row r="52" ht="78" customHeight="1">
      <c r="A52" s="2" t="inlineStr">
        <is>
          <t>CC-051</t>
        </is>
      </c>
      <c r="B52" s="2" t="inlineStr">
        <is>
          <t>Meris</t>
        </is>
      </c>
      <c r="C52" s="2" t="inlineStr">
        <is>
          <t>Capital Cortex</t>
        </is>
      </c>
      <c r="D52" s="2" t="inlineStr">
        <is>
          <t>India</t>
        </is>
      </c>
      <c r="E52" s="2" t="n">
        <v>4</v>
      </c>
      <c r="F52" s="2" t="n">
        <v>10</v>
      </c>
      <c r="G52" s="2" t="inlineStr">
        <is>
          <t>Startup India Seed Fund Scheme (SISFS)</t>
        </is>
      </c>
      <c r="H52" s="2" t="inlineStr">
        <is>
          <t>Government seed fund</t>
        </is>
      </c>
      <c r="I52" s="2" t="inlineStr">
        <is>
          <t>POC grant / debt-convertible support</t>
        </is>
      </c>
      <c r="J52" s="2" t="inlineStr">
        <is>
          <t>Energy / water / agriculture / healthcare</t>
        </is>
      </c>
      <c r="K52" s="2" t="inlineStr">
        <is>
          <t>DPIIT startup &lt;=2 years at application</t>
        </is>
      </c>
      <c r="L52" s="2" t="inlineStr">
        <is>
          <t>At least 51% Indian-promoter shareholding; US parent ineligible. CXPL 75% FDI likely fails; IIL age/ownership unverified.</t>
        </is>
      </c>
      <c r="M52" s="2" t="inlineStr">
        <is>
          <t>Eligibility gate first</t>
        </is>
      </c>
      <c r="N52" s="2" t="inlineStr">
        <is>
          <t>Very low</t>
        </is>
      </c>
      <c r="O52" s="2" t="inlineStr">
        <is>
          <t>Very low until gates cleared</t>
        </is>
      </c>
      <c r="P52" s="2" t="n">
        <v>4</v>
      </c>
      <c r="Q52" s="2" t="n">
        <v>1</v>
      </c>
      <c r="R52" s="2" t="n">
        <v>2</v>
      </c>
      <c r="S52" s="2" t="n">
        <v>54</v>
      </c>
      <c r="T52" s="2" t="inlineStr">
        <is>
          <t>Application through official SISFS portal / selected incubators</t>
        </is>
      </c>
      <c r="U52" s="3" t="inlineStr">
        <is>
          <t>https://seedfund.startupindia.gov.in/faq</t>
        </is>
      </c>
      <c r="V52" s="3" t="inlineStr">
        <is>
          <t>https://seedfund.startupindia.gov.in/about</t>
        </is>
      </c>
      <c r="W52" s="2" t="inlineStr">
        <is>
          <t>2026-10-06</t>
        </is>
      </c>
      <c r="X52" s="2" t="inlineStr">
        <is>
          <t>Portal/guidelines available; incubator allocation unconfirmed</t>
        </is>
      </c>
      <c r="Y52" s="2" t="inlineStr">
        <is>
          <t>Eligibility inquiry only; do not apply using an entity that fails ownership/age.</t>
        </is>
      </c>
      <c r="Z52" s="2" t="inlineStr">
        <is>
          <t>Not contacted</t>
        </is>
      </c>
      <c r="AA52" s="2" t="inlineStr">
        <is>
          <t>Senthil + Dr. Vijendran (proposed)</t>
        </is>
      </c>
    </row>
    <row r="53" ht="78" customHeight="1">
      <c r="A53" s="2" t="inlineStr">
        <is>
          <t>CC-052</t>
        </is>
      </c>
      <c r="B53" s="2" t="inlineStr">
        <is>
          <t>Meris</t>
        </is>
      </c>
      <c r="C53" s="2" t="inlineStr">
        <is>
          <t>Capital Cortex</t>
        </is>
      </c>
      <c r="D53" s="2" t="inlineStr">
        <is>
          <t>India</t>
        </is>
      </c>
      <c r="E53" s="2" t="n">
        <v>4</v>
      </c>
      <c r="F53" s="2" t="n">
        <v>11</v>
      </c>
      <c r="G53" s="2" t="inlineStr">
        <is>
          <t>Everstone Capital</t>
        </is>
      </c>
      <c r="H53" s="2" t="inlineStr">
        <is>
          <t>PE</t>
        </is>
      </c>
      <c r="I53" s="2" t="inlineStr">
        <is>
          <t>Growth/control investment / portfolio route</t>
        </is>
      </c>
      <c r="J53" s="2" t="inlineStr">
        <is>
          <t>Industrial / healthcare / digital / logistics</t>
        </is>
      </c>
      <c r="K53" s="2" t="inlineStr">
        <is>
          <t>Current direct capital fit very low (analyst view)</t>
        </is>
      </c>
      <c r="L53" s="2" t="inlineStr">
        <is>
          <t>Established PE businesses; no verified pre-revenue seed offer.</t>
        </is>
      </c>
      <c r="M53" s="2" t="inlineStr">
        <is>
          <t>Later / portfolio route</t>
        </is>
      </c>
      <c r="N53" s="2" t="inlineStr">
        <is>
          <t>Very low</t>
        </is>
      </c>
      <c r="O53" s="2" t="inlineStr">
        <is>
          <t>Very low / defer</t>
        </is>
      </c>
      <c r="P53" s="2" t="n">
        <v>3</v>
      </c>
      <c r="Q53" s="2" t="n">
        <v>1</v>
      </c>
      <c r="R53" s="2" t="n">
        <v>1</v>
      </c>
      <c r="S53" s="2" t="n">
        <v>40</v>
      </c>
      <c r="T53" s="2" t="inlineStr">
        <is>
          <t>Mumbai office +91 22 4043 6000</t>
        </is>
      </c>
      <c r="U53" s="3" t="inlineStr">
        <is>
          <t>https://everstonecapital.com/contact/</t>
        </is>
      </c>
      <c r="V53" s="3" t="inlineStr">
        <is>
          <t>https://everstonecapital.com/</t>
        </is>
      </c>
      <c r="W53" s="2" t="inlineStr">
        <is>
          <t>2026-10-06</t>
        </is>
      </c>
      <c r="X53" s="2" t="inlineStr">
        <is>
          <t>Official PE and India contact pages</t>
        </is>
      </c>
      <c r="Y53" s="2" t="inlineStr">
        <is>
          <t>Seek relevant portfolio buyer/technology-pilot introduction after demonstrated outcome.</t>
        </is>
      </c>
      <c r="Z53" s="2" t="inlineStr">
        <is>
          <t>Not contacted</t>
        </is>
      </c>
      <c r="AA53" s="2" t="inlineStr">
        <is>
          <t>Senthil + Dr. Vijendran (proposed)</t>
        </is>
      </c>
    </row>
  </sheetData>
  <autoFilter ref="A1:AA53"/>
  <hyperlinks>
    <hyperlink xmlns:r="http://schemas.openxmlformats.org/officeDocument/2006/relationships" ref="U2" r:id="rId1"/>
    <hyperlink xmlns:r="http://schemas.openxmlformats.org/officeDocument/2006/relationships" ref="V2" r:id="rId2"/>
    <hyperlink xmlns:r="http://schemas.openxmlformats.org/officeDocument/2006/relationships" ref="U3" r:id="rId3"/>
    <hyperlink xmlns:r="http://schemas.openxmlformats.org/officeDocument/2006/relationships" ref="V3" r:id="rId4"/>
    <hyperlink xmlns:r="http://schemas.openxmlformats.org/officeDocument/2006/relationships" ref="U4" r:id="rId5"/>
    <hyperlink xmlns:r="http://schemas.openxmlformats.org/officeDocument/2006/relationships" ref="V4" r:id="rId6"/>
    <hyperlink xmlns:r="http://schemas.openxmlformats.org/officeDocument/2006/relationships" ref="U5" r:id="rId7"/>
    <hyperlink xmlns:r="http://schemas.openxmlformats.org/officeDocument/2006/relationships" ref="V5" r:id="rId8"/>
    <hyperlink xmlns:r="http://schemas.openxmlformats.org/officeDocument/2006/relationships" ref="U6" r:id="rId9"/>
    <hyperlink xmlns:r="http://schemas.openxmlformats.org/officeDocument/2006/relationships" ref="V6" r:id="rId10"/>
    <hyperlink xmlns:r="http://schemas.openxmlformats.org/officeDocument/2006/relationships" ref="U7" r:id="rId11"/>
    <hyperlink xmlns:r="http://schemas.openxmlformats.org/officeDocument/2006/relationships" ref="V7" r:id="rId12"/>
    <hyperlink xmlns:r="http://schemas.openxmlformats.org/officeDocument/2006/relationships" ref="U8" r:id="rId13"/>
    <hyperlink xmlns:r="http://schemas.openxmlformats.org/officeDocument/2006/relationships" ref="V8" r:id="rId14"/>
    <hyperlink xmlns:r="http://schemas.openxmlformats.org/officeDocument/2006/relationships" ref="U9" r:id="rId15"/>
    <hyperlink xmlns:r="http://schemas.openxmlformats.org/officeDocument/2006/relationships" ref="V9" r:id="rId16"/>
    <hyperlink xmlns:r="http://schemas.openxmlformats.org/officeDocument/2006/relationships" ref="U10" r:id="rId17"/>
    <hyperlink xmlns:r="http://schemas.openxmlformats.org/officeDocument/2006/relationships" ref="V10" r:id="rId18"/>
    <hyperlink xmlns:r="http://schemas.openxmlformats.org/officeDocument/2006/relationships" ref="U11" r:id="rId19"/>
    <hyperlink xmlns:r="http://schemas.openxmlformats.org/officeDocument/2006/relationships" ref="V11" r:id="rId20"/>
    <hyperlink xmlns:r="http://schemas.openxmlformats.org/officeDocument/2006/relationships" ref="U12" r:id="rId21"/>
    <hyperlink xmlns:r="http://schemas.openxmlformats.org/officeDocument/2006/relationships" ref="V12" r:id="rId22"/>
    <hyperlink xmlns:r="http://schemas.openxmlformats.org/officeDocument/2006/relationships" ref="U13" r:id="rId23"/>
    <hyperlink xmlns:r="http://schemas.openxmlformats.org/officeDocument/2006/relationships" ref="V13" r:id="rId24"/>
    <hyperlink xmlns:r="http://schemas.openxmlformats.org/officeDocument/2006/relationships" ref="U14" r:id="rId25"/>
    <hyperlink xmlns:r="http://schemas.openxmlformats.org/officeDocument/2006/relationships" ref="V14" r:id="rId26"/>
    <hyperlink xmlns:r="http://schemas.openxmlformats.org/officeDocument/2006/relationships" ref="U15" r:id="rId27"/>
    <hyperlink xmlns:r="http://schemas.openxmlformats.org/officeDocument/2006/relationships" ref="V15" r:id="rId28"/>
    <hyperlink xmlns:r="http://schemas.openxmlformats.org/officeDocument/2006/relationships" ref="U16" r:id="rId29"/>
    <hyperlink xmlns:r="http://schemas.openxmlformats.org/officeDocument/2006/relationships" ref="V16" r:id="rId30"/>
    <hyperlink xmlns:r="http://schemas.openxmlformats.org/officeDocument/2006/relationships" ref="U17" r:id="rId31"/>
    <hyperlink xmlns:r="http://schemas.openxmlformats.org/officeDocument/2006/relationships" ref="V17" r:id="rId32"/>
    <hyperlink xmlns:r="http://schemas.openxmlformats.org/officeDocument/2006/relationships" ref="U18" r:id="rId33"/>
    <hyperlink xmlns:r="http://schemas.openxmlformats.org/officeDocument/2006/relationships" ref="V18" r:id="rId34"/>
    <hyperlink xmlns:r="http://schemas.openxmlformats.org/officeDocument/2006/relationships" ref="U19" r:id="rId35"/>
    <hyperlink xmlns:r="http://schemas.openxmlformats.org/officeDocument/2006/relationships" ref="V19" r:id="rId36"/>
    <hyperlink xmlns:r="http://schemas.openxmlformats.org/officeDocument/2006/relationships" ref="U20" r:id="rId37"/>
    <hyperlink xmlns:r="http://schemas.openxmlformats.org/officeDocument/2006/relationships" ref="V20" r:id="rId38"/>
    <hyperlink xmlns:r="http://schemas.openxmlformats.org/officeDocument/2006/relationships" ref="U21" r:id="rId39"/>
    <hyperlink xmlns:r="http://schemas.openxmlformats.org/officeDocument/2006/relationships" ref="V21" r:id="rId40"/>
    <hyperlink xmlns:r="http://schemas.openxmlformats.org/officeDocument/2006/relationships" ref="U22" r:id="rId41"/>
    <hyperlink xmlns:r="http://schemas.openxmlformats.org/officeDocument/2006/relationships" ref="V22" r:id="rId42"/>
    <hyperlink xmlns:r="http://schemas.openxmlformats.org/officeDocument/2006/relationships" ref="U23" r:id="rId43"/>
    <hyperlink xmlns:r="http://schemas.openxmlformats.org/officeDocument/2006/relationships" ref="V23" r:id="rId44"/>
    <hyperlink xmlns:r="http://schemas.openxmlformats.org/officeDocument/2006/relationships" ref="U24" r:id="rId45"/>
    <hyperlink xmlns:r="http://schemas.openxmlformats.org/officeDocument/2006/relationships" ref="V24" r:id="rId46"/>
    <hyperlink xmlns:r="http://schemas.openxmlformats.org/officeDocument/2006/relationships" ref="U25" r:id="rId47"/>
    <hyperlink xmlns:r="http://schemas.openxmlformats.org/officeDocument/2006/relationships" ref="V25" r:id="rId48"/>
    <hyperlink xmlns:r="http://schemas.openxmlformats.org/officeDocument/2006/relationships" ref="U26" r:id="rId49"/>
    <hyperlink xmlns:r="http://schemas.openxmlformats.org/officeDocument/2006/relationships" ref="V26" r:id="rId50"/>
    <hyperlink xmlns:r="http://schemas.openxmlformats.org/officeDocument/2006/relationships" ref="U27" r:id="rId51"/>
    <hyperlink xmlns:r="http://schemas.openxmlformats.org/officeDocument/2006/relationships" ref="V27" r:id="rId52"/>
    <hyperlink xmlns:r="http://schemas.openxmlformats.org/officeDocument/2006/relationships" ref="U28" r:id="rId53"/>
    <hyperlink xmlns:r="http://schemas.openxmlformats.org/officeDocument/2006/relationships" ref="V28" r:id="rId54"/>
    <hyperlink xmlns:r="http://schemas.openxmlformats.org/officeDocument/2006/relationships" ref="U29" r:id="rId55"/>
    <hyperlink xmlns:r="http://schemas.openxmlformats.org/officeDocument/2006/relationships" ref="V29" r:id="rId56"/>
    <hyperlink xmlns:r="http://schemas.openxmlformats.org/officeDocument/2006/relationships" ref="U30" r:id="rId57"/>
    <hyperlink xmlns:r="http://schemas.openxmlformats.org/officeDocument/2006/relationships" ref="V30" r:id="rId58"/>
    <hyperlink xmlns:r="http://schemas.openxmlformats.org/officeDocument/2006/relationships" ref="U31" r:id="rId59"/>
    <hyperlink xmlns:r="http://schemas.openxmlformats.org/officeDocument/2006/relationships" ref="V31" r:id="rId60"/>
    <hyperlink xmlns:r="http://schemas.openxmlformats.org/officeDocument/2006/relationships" ref="U32" r:id="rId61"/>
    <hyperlink xmlns:r="http://schemas.openxmlformats.org/officeDocument/2006/relationships" ref="V32" r:id="rId62"/>
    <hyperlink xmlns:r="http://schemas.openxmlformats.org/officeDocument/2006/relationships" ref="U33" r:id="rId63"/>
    <hyperlink xmlns:r="http://schemas.openxmlformats.org/officeDocument/2006/relationships" ref="V33" r:id="rId64"/>
    <hyperlink xmlns:r="http://schemas.openxmlformats.org/officeDocument/2006/relationships" ref="U34" r:id="rId65"/>
    <hyperlink xmlns:r="http://schemas.openxmlformats.org/officeDocument/2006/relationships" ref="V34" r:id="rId66"/>
    <hyperlink xmlns:r="http://schemas.openxmlformats.org/officeDocument/2006/relationships" ref="U35" r:id="rId67"/>
    <hyperlink xmlns:r="http://schemas.openxmlformats.org/officeDocument/2006/relationships" ref="V35" r:id="rId68"/>
    <hyperlink xmlns:r="http://schemas.openxmlformats.org/officeDocument/2006/relationships" ref="U36" r:id="rId69"/>
    <hyperlink xmlns:r="http://schemas.openxmlformats.org/officeDocument/2006/relationships" ref="V36" r:id="rId70"/>
    <hyperlink xmlns:r="http://schemas.openxmlformats.org/officeDocument/2006/relationships" ref="U37" r:id="rId71"/>
    <hyperlink xmlns:r="http://schemas.openxmlformats.org/officeDocument/2006/relationships" ref="V37" r:id="rId72"/>
    <hyperlink xmlns:r="http://schemas.openxmlformats.org/officeDocument/2006/relationships" ref="U38" r:id="rId73"/>
    <hyperlink xmlns:r="http://schemas.openxmlformats.org/officeDocument/2006/relationships" ref="V38" r:id="rId74"/>
    <hyperlink xmlns:r="http://schemas.openxmlformats.org/officeDocument/2006/relationships" ref="U39" r:id="rId75"/>
    <hyperlink xmlns:r="http://schemas.openxmlformats.org/officeDocument/2006/relationships" ref="V39" r:id="rId76"/>
    <hyperlink xmlns:r="http://schemas.openxmlformats.org/officeDocument/2006/relationships" ref="U40" r:id="rId77"/>
    <hyperlink xmlns:r="http://schemas.openxmlformats.org/officeDocument/2006/relationships" ref="V40" r:id="rId78"/>
    <hyperlink xmlns:r="http://schemas.openxmlformats.org/officeDocument/2006/relationships" ref="U41" r:id="rId79"/>
    <hyperlink xmlns:r="http://schemas.openxmlformats.org/officeDocument/2006/relationships" ref="V41" r:id="rId80"/>
    <hyperlink xmlns:r="http://schemas.openxmlformats.org/officeDocument/2006/relationships" ref="U42" r:id="rId81"/>
    <hyperlink xmlns:r="http://schemas.openxmlformats.org/officeDocument/2006/relationships" ref="V42" r:id="rId82"/>
    <hyperlink xmlns:r="http://schemas.openxmlformats.org/officeDocument/2006/relationships" ref="U43" r:id="rId83"/>
    <hyperlink xmlns:r="http://schemas.openxmlformats.org/officeDocument/2006/relationships" ref="V43" r:id="rId84"/>
    <hyperlink xmlns:r="http://schemas.openxmlformats.org/officeDocument/2006/relationships" ref="U44" r:id="rId85"/>
    <hyperlink xmlns:r="http://schemas.openxmlformats.org/officeDocument/2006/relationships" ref="V44" r:id="rId86"/>
    <hyperlink xmlns:r="http://schemas.openxmlformats.org/officeDocument/2006/relationships" ref="U45" r:id="rId87"/>
    <hyperlink xmlns:r="http://schemas.openxmlformats.org/officeDocument/2006/relationships" ref="V45" r:id="rId88"/>
    <hyperlink xmlns:r="http://schemas.openxmlformats.org/officeDocument/2006/relationships" ref="U46" r:id="rId89"/>
    <hyperlink xmlns:r="http://schemas.openxmlformats.org/officeDocument/2006/relationships" ref="V46" r:id="rId90"/>
    <hyperlink xmlns:r="http://schemas.openxmlformats.org/officeDocument/2006/relationships" ref="U47" r:id="rId91"/>
    <hyperlink xmlns:r="http://schemas.openxmlformats.org/officeDocument/2006/relationships" ref="V47" r:id="rId92"/>
    <hyperlink xmlns:r="http://schemas.openxmlformats.org/officeDocument/2006/relationships" ref="U48" r:id="rId93"/>
    <hyperlink xmlns:r="http://schemas.openxmlformats.org/officeDocument/2006/relationships" ref="V48" r:id="rId94"/>
    <hyperlink xmlns:r="http://schemas.openxmlformats.org/officeDocument/2006/relationships" ref="U49" r:id="rId95"/>
    <hyperlink xmlns:r="http://schemas.openxmlformats.org/officeDocument/2006/relationships" ref="V49" r:id="rId96"/>
    <hyperlink xmlns:r="http://schemas.openxmlformats.org/officeDocument/2006/relationships" ref="U50" r:id="rId97"/>
    <hyperlink xmlns:r="http://schemas.openxmlformats.org/officeDocument/2006/relationships" ref="V50" r:id="rId98"/>
    <hyperlink xmlns:r="http://schemas.openxmlformats.org/officeDocument/2006/relationships" ref="U51" r:id="rId99"/>
    <hyperlink xmlns:r="http://schemas.openxmlformats.org/officeDocument/2006/relationships" ref="V51" r:id="rId100"/>
    <hyperlink xmlns:r="http://schemas.openxmlformats.org/officeDocument/2006/relationships" ref="U52" r:id="rId101"/>
    <hyperlink xmlns:r="http://schemas.openxmlformats.org/officeDocument/2006/relationships" ref="V52" r:id="rId102"/>
    <hyperlink xmlns:r="http://schemas.openxmlformats.org/officeDocument/2006/relationships" ref="U53" r:id="rId103"/>
    <hyperlink xmlns:r="http://schemas.openxmlformats.org/officeDocument/2006/relationships" ref="V53" r:id="rId10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05"/>
  </tableParts>
</worksheet>
</file>

<file path=xl/worksheets/sheet14.xml><?xml version="1.0" encoding="utf-8"?>
<worksheet xmlns="http://schemas.openxmlformats.org/spreadsheetml/2006/main">
  <sheetPr>
    <tabColor rgb="00007F86"/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7" customWidth="1" min="2" max="2"/>
    <col width="65" customWidth="1" min="3" max="3"/>
    <col width="65" customWidth="1" min="4" max="4"/>
    <col width="65" customWidth="1" min="5" max="5"/>
  </cols>
  <sheetData>
    <row r="1" ht="32" customHeight="1">
      <c r="A1" s="1" t="inlineStr">
        <is>
          <t>Vertical</t>
        </is>
      </c>
      <c r="B1" s="1" t="inlineStr">
        <is>
          <t>Product focus</t>
        </is>
      </c>
      <c r="C1" s="1" t="inlineStr">
        <is>
          <t>Priority ecosystems</t>
        </is>
      </c>
      <c r="D1" s="1" t="inlineStr">
        <is>
          <t>Outcome KPIs to validate</t>
        </is>
      </c>
      <c r="E1" s="1" t="inlineStr">
        <is>
          <t>Pilot evidence needed</t>
        </is>
      </c>
    </row>
    <row r="2" ht="78" customHeight="1">
      <c r="A2" s="2" t="inlineStr">
        <is>
          <t>Hospitality</t>
        </is>
      </c>
      <c r="B2" s="2" t="inlineStr">
        <is>
          <t>Caleido Xenia + CK/FleetXplorer + ESG AIoT / Domi as applicable</t>
        </is>
      </c>
      <c r="C2" s="2" t="inlineStr">
        <is>
          <t>AHLA HTNG; EmiratesGBC; BCA GBIC; IGBC</t>
        </is>
      </c>
      <c r="D2" s="2" t="inlineStr">
        <is>
          <t>Energy per occupied room; equipment availability; AQ/comfort; verified service outcomes</t>
        </is>
      </c>
      <c r="E2" s="2" t="inlineStr">
        <is>
          <t>Hotel pilot sponsor + commissioning partner; HTNG integration demo</t>
        </is>
      </c>
    </row>
    <row r="3" ht="78" customHeight="1">
      <c r="A3" s="2" t="inlineStr">
        <is>
          <t>Hospitals / clinics</t>
        </is>
      </c>
      <c r="B3" s="2" t="inlineStr">
        <is>
          <t>CK + ESG AIoT + asset reliability</t>
        </is>
      </c>
      <c r="C3" s="2" t="inlineStr">
        <is>
          <t>NJIT; Khalifa; NUS; nasscom CoE; IGBC</t>
        </is>
      </c>
      <c r="D3" s="2" t="inlineStr">
        <is>
          <t>Critical asset uptime; environmental quality; energy intensity</t>
        </is>
      </c>
      <c r="E3" s="2" t="inlineStr">
        <is>
          <t>Facility use case, not clinical diagnosis; clear security and data boundaries</t>
        </is>
      </c>
    </row>
    <row r="4" ht="78" customHeight="1">
      <c r="A4" s="2" t="inlineStr">
        <is>
          <t>Commercial / residential buildings</t>
        </is>
      </c>
      <c r="B4" s="2" t="inlineStr">
        <is>
          <t>CK / Cielo Epic / ESG AIoT; Domi outcomes scoped per pilot</t>
        </is>
      </c>
      <c r="C4" s="2" t="inlineStr">
        <is>
          <t>PSE&amp;G; EmiratesGBC; BCA GBIC; NTU; SGBC; IGBC</t>
        </is>
      </c>
      <c r="D4" s="2" t="inlineStr">
        <is>
          <t>Normalized kWh/m²; peak demand; AQ/comfort; fault resolution</t>
        </is>
      </c>
      <c r="E4" s="2" t="inlineStr">
        <is>
          <t>Baseline, controls integration, savings measurement and owner adopter</t>
        </is>
      </c>
    </row>
    <row r="5" ht="78" customHeight="1">
      <c r="A5" s="2" t="inlineStr">
        <is>
          <t>Factories / industrial</t>
        </is>
      </c>
      <c r="B5" s="2" t="inlineStr">
        <is>
          <t>CK + anomaly / PdM / RxM / APM / OEE</t>
        </is>
      </c>
      <c r="C5" s="2" t="inlineStr">
        <is>
          <t>CO.LAB; CEVG; Transition; ARTC; IITM; BEE; nasscom</t>
        </is>
      </c>
      <c r="D5" s="2" t="inlineStr">
        <is>
          <t>OEE; unplanned downtime; energy per output; maintenance lead time</t>
        </is>
      </c>
      <c r="E5" s="2" t="inlineStr">
        <is>
          <t>Instrumented asset, reliable labels and documented operational ROI</t>
        </is>
      </c>
    </row>
    <row r="6" ht="78" customHeight="1">
      <c r="A6" s="2" t="inlineStr">
        <is>
          <t>Agriculture / horticulture / vertical farming</t>
        </is>
      </c>
      <c r="B6" s="2" t="inlineStr">
        <is>
          <t>CK + environmental/water/energy monitoring + ESG AIoT</t>
        </is>
      </c>
      <c r="C6" s="2" t="inlineStr">
        <is>
          <t>Rutgers EcoComplex; NUS; climate accelerators; qualified Indian seed routes</t>
        </is>
      </c>
      <c r="D6" s="2" t="inlineStr">
        <is>
          <t>Water per yield; energy per yield; environmental stability; asset uptime</t>
        </is>
      </c>
      <c r="E6" s="2" t="inlineStr">
        <is>
          <t>Representative grow-site, sensor calibration and defensible crop outcome measurement</t>
        </is>
      </c>
    </row>
    <row r="7" ht="78" customHeight="1">
      <c r="A7" s="2" t="inlineStr">
        <is>
          <t>Data centers</t>
        </is>
      </c>
      <c r="B7" s="2" t="inlineStr">
        <is>
          <t>CK + ESG AIoT / predictive asset maintenance</t>
        </is>
      </c>
      <c r="C7" s="2" t="inlineStr">
        <is>
          <t>Elemental; DTC; BCA / academic energy partners; nasscom</t>
        </is>
      </c>
      <c r="D7" s="2" t="inlineStr">
        <is>
          <t>PUE/WUE where applicable; thermal excursions; uptime; energy use</t>
        </is>
      </c>
      <c r="E7" s="2" t="inlineStr">
        <is>
          <t>Read-only initial monitoring, control safety boundaries, realistic compute/cooling scope</t>
        </is>
      </c>
    </row>
  </sheetData>
  <autoFilter ref="A1:E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2026-10-06T12:11:23Z</dcterms:created>
  <dcterms:modified xmlns:dcterms="http://purl.org/dc/terms/" xmlns:xsi="http://www.w3.org/2001/XMLSchema-instance" xsi:type="dcterms:W3CDTF">2026-10-06T12:11:24Z</dcterms:modified>
</cp:coreProperties>
</file>
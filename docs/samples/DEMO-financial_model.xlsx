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rojection" sheetId="3" state="visible" r:id="rId3"/>
    <sheet xmlns:r="http://schemas.openxmlformats.org/officeDocument/2006/relationships" name="Runway" sheetId="4" state="visible" r:id="rId4"/>
    <sheet xmlns:r="http://schemas.openxmlformats.org/officeDocument/2006/relationships" name="Evid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model (live formulas): Equipment finance for clean energy storage</t>
        </is>
      </c>
    </row>
    <row r="2">
      <c r="A2" s="2" t="inlineStr">
        <is>
          <t>Month</t>
        </is>
      </c>
      <c r="B2" s="2" t="inlineStr">
        <is>
          <t>Cash</t>
        </is>
      </c>
      <c r="C2" s="2" t="inlineStr">
        <is>
          <t>Revenue</t>
        </is>
      </c>
      <c r="D2" s="2" t="inlineStr">
        <is>
          <t>Opex</t>
        </is>
      </c>
      <c r="E2" s="2" t="inlineStr">
        <is>
          <t>Net burn</t>
        </is>
      </c>
      <c r="F2" s="2" t="inlineStr">
        <is>
          <t>Source record</t>
        </is>
      </c>
    </row>
    <row r="3">
      <c r="A3" t="inlineStr">
        <is>
          <t>2025-03</t>
        </is>
      </c>
      <c r="B3" t="n">
        <v>2294166.99</v>
      </c>
      <c r="C3" t="n">
        <v>39740.1</v>
      </c>
      <c r="D3" t="n">
        <v>145573.11</v>
      </c>
      <c r="E3" t="n">
        <v>105833.01</v>
      </c>
      <c r="F3" t="inlineStr">
        <is>
          <t>financial_snapshot:b11e4697-0950-49c0-8e36-07286a2fa79f</t>
        </is>
      </c>
    </row>
    <row r="4">
      <c r="A4" t="inlineStr">
        <is>
          <t>2025-04</t>
        </is>
      </c>
      <c r="B4" t="n">
        <v>2185216.33</v>
      </c>
      <c r="C4" t="n">
        <v>45285.21</v>
      </c>
      <c r="D4" t="n">
        <v>154235.87</v>
      </c>
      <c r="E4" t="n">
        <v>108950.66</v>
      </c>
      <c r="F4" t="inlineStr">
        <is>
          <t>financial_snapshot:03a7091b-dad7-4e04-a8fa-dd9266b81b99</t>
        </is>
      </c>
    </row>
    <row r="5">
      <c r="A5" t="inlineStr">
        <is>
          <t>2025-05</t>
        </is>
      </c>
      <c r="B5" t="n">
        <v>2085353.82</v>
      </c>
      <c r="C5" t="n">
        <v>51508.65</v>
      </c>
      <c r="D5" t="n">
        <v>151371.16</v>
      </c>
      <c r="E5" t="n">
        <v>99862.50999999999</v>
      </c>
      <c r="F5" t="inlineStr">
        <is>
          <t>financial_snapshot:d012e1a9-9be2-40f9-815e-b2eaa9a97fb4</t>
        </is>
      </c>
    </row>
    <row r="6">
      <c r="A6" t="inlineStr">
        <is>
          <t>2025-06</t>
        </is>
      </c>
      <c r="B6" t="n">
        <v>1980641.24</v>
      </c>
      <c r="C6" t="n">
        <v>53262.67</v>
      </c>
      <c r="D6" t="n">
        <v>157975.25</v>
      </c>
      <c r="E6" t="n">
        <v>104712.58</v>
      </c>
      <c r="F6" t="inlineStr">
        <is>
          <t>financial_snapshot:2f1c4279-a2ed-4c03-85cf-07a1105a6d2c</t>
        </is>
      </c>
    </row>
    <row r="7">
      <c r="A7" t="inlineStr">
        <is>
          <t>2025-07</t>
        </is>
      </c>
      <c r="B7" t="n">
        <v>1884772</v>
      </c>
      <c r="C7" t="n">
        <v>54715.36</v>
      </c>
      <c r="D7" t="n">
        <v>150584.6</v>
      </c>
      <c r="E7" t="n">
        <v>95869.24000000001</v>
      </c>
      <c r="F7" t="inlineStr">
        <is>
          <t>financial_snapshot:3deef059-b6e2-4941-a536-2c625bec5be6</t>
        </is>
      </c>
    </row>
    <row r="8">
      <c r="A8" t="inlineStr">
        <is>
          <t>2025-08</t>
        </is>
      </c>
      <c r="B8" t="n">
        <v>1781484.8</v>
      </c>
      <c r="C8" t="n">
        <v>55577.86</v>
      </c>
      <c r="D8" t="n">
        <v>158865.06</v>
      </c>
      <c r="E8" t="n">
        <v>103287.2</v>
      </c>
      <c r="F8" t="inlineStr">
        <is>
          <t>financial_snapshot:ee553875-44ce-49bc-8e68-ac202512a95a</t>
        </is>
      </c>
    </row>
    <row r="9">
      <c r="A9" t="inlineStr">
        <is>
          <t>2025-09</t>
        </is>
      </c>
      <c r="B9" t="n">
        <v>1682357.59</v>
      </c>
      <c r="C9" t="n">
        <v>56458.27</v>
      </c>
      <c r="D9" t="n">
        <v>155585.48</v>
      </c>
      <c r="E9" t="n">
        <v>99127.21000000001</v>
      </c>
      <c r="F9" t="inlineStr">
        <is>
          <t>financial_snapshot:de8c3cb9-5f13-438b-ace3-5f9965bb8602</t>
        </is>
      </c>
    </row>
    <row r="10">
      <c r="A10" t="inlineStr">
        <is>
          <t>2025-10</t>
        </is>
      </c>
      <c r="B10" t="n">
        <v>1592320.03</v>
      </c>
      <c r="C10" t="n">
        <v>67740.75</v>
      </c>
      <c r="D10" t="n">
        <v>157778.31</v>
      </c>
      <c r="E10" t="n">
        <v>90037.56</v>
      </c>
      <c r="F10" t="inlineStr">
        <is>
          <t>financial_snapshot:83af873f-db67-4ff2-89f8-13299465b36c</t>
        </is>
      </c>
    </row>
    <row r="11">
      <c r="A11" t="inlineStr">
        <is>
          <t>2025-11</t>
        </is>
      </c>
      <c r="B11" t="n">
        <v>1499107.86</v>
      </c>
      <c r="C11" t="n">
        <v>68603.39</v>
      </c>
      <c r="D11" t="n">
        <v>161815.56</v>
      </c>
      <c r="E11" t="n">
        <v>93212.17</v>
      </c>
      <c r="F11" t="inlineStr">
        <is>
          <t>financial_snapshot:19b8eb3a-6867-4d14-9c5b-7cb4e61e7836</t>
        </is>
      </c>
    </row>
    <row r="12">
      <c r="A12" t="inlineStr">
        <is>
          <t>2025-12</t>
        </is>
      </c>
      <c r="B12" t="n">
        <v>1404604.11</v>
      </c>
      <c r="C12" t="n">
        <v>71764.61</v>
      </c>
      <c r="D12" t="n">
        <v>166268.36</v>
      </c>
      <c r="E12" t="n">
        <v>94503.75</v>
      </c>
      <c r="F12" t="inlineStr">
        <is>
          <t>financial_snapshot:7e30183c-dbd0-439b-aeaf-7cdb4156ec60</t>
        </is>
      </c>
    </row>
    <row r="13">
      <c r="A13" t="inlineStr">
        <is>
          <t>2026-01</t>
        </is>
      </c>
      <c r="B13" t="n">
        <v>1307954.29</v>
      </c>
      <c r="C13" t="n">
        <v>72660.96000000001</v>
      </c>
      <c r="D13" t="n">
        <v>169310.78</v>
      </c>
      <c r="E13" t="n">
        <v>96649.82000000001</v>
      </c>
      <c r="F13" t="inlineStr">
        <is>
          <t>financial_snapshot:4b5acaa3-dd72-4592-89bc-3d1e4538cd1e</t>
        </is>
      </c>
    </row>
    <row r="14">
      <c r="A14" t="inlineStr">
        <is>
          <t>2026-02</t>
        </is>
      </c>
      <c r="B14" t="n">
        <v>1205120.18</v>
      </c>
      <c r="C14" t="n">
        <v>76280.00999999999</v>
      </c>
      <c r="D14" t="n">
        <v>179114.12</v>
      </c>
      <c r="E14" t="n">
        <v>102834.11</v>
      </c>
      <c r="F14" t="inlineStr">
        <is>
          <t>financial_snapshot:7d1a51cf-6054-4eaa-a2ef-b2e94ce932dd</t>
        </is>
      </c>
    </row>
    <row r="15">
      <c r="A15" t="inlineStr">
        <is>
          <t>2026-03</t>
        </is>
      </c>
      <c r="B15" t="n">
        <v>1118690.47</v>
      </c>
      <c r="C15" t="n">
        <v>81601.62</v>
      </c>
      <c r="D15" t="n">
        <v>168031.33</v>
      </c>
      <c r="E15" t="n">
        <v>86429.71000000001</v>
      </c>
      <c r="F15" t="inlineStr">
        <is>
          <t>financial_snapshot:31e93776-e63c-4578-86a5-0897926c5f14</t>
        </is>
      </c>
    </row>
    <row r="16">
      <c r="A16" t="inlineStr">
        <is>
          <t>2026-04</t>
        </is>
      </c>
      <c r="B16" t="n">
        <v>1035983.02</v>
      </c>
      <c r="C16" t="n">
        <v>87920.75999999999</v>
      </c>
      <c r="D16" t="n">
        <v>170628.21</v>
      </c>
      <c r="E16" t="n">
        <v>82707.45</v>
      </c>
      <c r="F16" t="inlineStr">
        <is>
          <t>financial_snapshot:389717e9-3245-473d-a38e-b63c013fa3d4</t>
        </is>
      </c>
    </row>
    <row r="17">
      <c r="A17" t="inlineStr">
        <is>
          <t>2026-05</t>
        </is>
      </c>
      <c r="B17" t="n">
        <v>945022.23</v>
      </c>
      <c r="C17" t="n">
        <v>91441.03</v>
      </c>
      <c r="D17" t="n">
        <v>182401.82</v>
      </c>
      <c r="E17" t="n">
        <v>90960.78999999999</v>
      </c>
      <c r="F17" t="inlineStr">
        <is>
          <t>financial_snapshot:e61cfddf-a4a6-4bf0-8146-7956c60637f6</t>
        </is>
      </c>
    </row>
    <row r="18">
      <c r="A18" t="inlineStr">
        <is>
          <t>2026-06</t>
        </is>
      </c>
      <c r="B18" t="n">
        <v>861452.64</v>
      </c>
      <c r="C18" t="n">
        <v>96727.77</v>
      </c>
      <c r="D18" t="n">
        <v>180297.36</v>
      </c>
      <c r="E18" t="n">
        <v>83569.59</v>
      </c>
      <c r="F18" t="inlineStr">
        <is>
          <t>financial_snapshot:e5a24e11-0c4e-489b-85e4-5b3d71a64670</t>
        </is>
      </c>
    </row>
    <row r="19">
      <c r="A19" t="inlineStr">
        <is>
          <t>2026-07</t>
        </is>
      </c>
      <c r="B19" t="n">
        <v>773260.6800000001</v>
      </c>
      <c r="C19" t="n">
        <v>98472.14999999999</v>
      </c>
      <c r="D19" t="n">
        <v>186664.11</v>
      </c>
      <c r="E19" t="n">
        <v>88191.96000000001</v>
      </c>
      <c r="F19" t="inlineStr">
        <is>
          <t>financial_snapshot:f6163efe-7b51-4538-b138-a2f2e071e363</t>
        </is>
      </c>
    </row>
    <row r="20">
      <c r="A20" t="inlineStr">
        <is>
          <t>2026-08</t>
        </is>
      </c>
      <c r="B20" t="n">
        <v>690224.04</v>
      </c>
      <c r="C20" t="n">
        <v>102649.51</v>
      </c>
      <c r="D20" t="n">
        <v>185686.15</v>
      </c>
      <c r="E20" t="n">
        <v>83036.64</v>
      </c>
      <c r="F20" t="inlineStr">
        <is>
          <t>financial_snapshot:0ad90de9-c335-4f14-a208-14e3f52705b2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7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How it is derived</t>
        </is>
      </c>
    </row>
    <row r="2">
      <c r="A2" t="inlineStr">
        <is>
          <t>Currency</t>
        </is>
      </c>
      <c r="B2" t="inlineStr">
        <is>
          <t>USD</t>
        </is>
      </c>
      <c r="C2" t="inlineStr">
        <is>
          <t>organisation profile / snapshots</t>
        </is>
      </c>
    </row>
    <row r="3">
      <c r="A3" t="inlineStr">
        <is>
          <t>Revenue growth per month</t>
        </is>
      </c>
      <c r="B3">
        <f>IFERROR((Inputs!C20/Inputs!C17)^(1/3)-1,0)</f>
        <v/>
      </c>
      <c r="C3" t="inlineStr">
        <is>
          <t>formula: compound monthly growth over the last 3 months of Inputs</t>
        </is>
      </c>
    </row>
    <row r="4">
      <c r="A4" t="inlineStr">
        <is>
          <t>Opex growth per month</t>
        </is>
      </c>
      <c r="B4">
        <f>IFERROR((Inputs!D20/Inputs!D17)^(1/3)-1,0)</f>
        <v/>
      </c>
      <c r="C4" t="inlineStr">
        <is>
          <t>formula: compound monthly growth over the last 3 months of Inputs</t>
        </is>
      </c>
    </row>
    <row r="5">
      <c r="A5" t="inlineStr">
        <is>
          <t>Minimum cash buffer</t>
        </is>
      </c>
      <c r="B5" t="n">
        <v>0</v>
      </c>
      <c r="C5" t="inlineStr">
        <is>
          <t>setting MIN_CASH_BUFFER</t>
        </is>
      </c>
    </row>
    <row r="6">
      <c r="A6" t="inlineStr">
        <is>
          <t>Raise amount</t>
        </is>
      </c>
      <c r="B6" t="n">
        <v>3000000</v>
      </c>
      <c r="C6" t="inlineStr">
        <is>
          <t>organisation profile raise target (input)</t>
        </is>
      </c>
    </row>
    <row r="7">
      <c r="A7" t="inlineStr">
        <is>
          <t>Raise month (1 = next month)</t>
        </is>
      </c>
      <c r="B7" t="n">
        <v>4</v>
      </c>
      <c r="C7" t="inlineStr">
        <is>
          <t>opportunity deadline + class decision lag (config/forecast.yaml)</t>
        </is>
      </c>
    </row>
    <row r="8">
      <c r="A8" t="inlineStr">
        <is>
          <t>Probability applied to the raise</t>
        </is>
      </c>
      <c r="B8" t="n">
        <v>0.1</v>
      </c>
      <c r="C8" t="inlineStr">
        <is>
          <t>stage probability (config/scoring/reference.yaml)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 #</t>
        </is>
      </c>
      <c r="B1" s="2" t="inlineStr">
        <is>
          <t>Month</t>
        </is>
      </c>
      <c r="C1" s="2" t="inlineStr">
        <is>
          <t>Revenue</t>
        </is>
      </c>
      <c r="D1" s="2" t="inlineStr">
        <is>
          <t>Opex</t>
        </is>
      </c>
      <c r="E1" s="2" t="inlineStr">
        <is>
          <t>Net burn</t>
        </is>
      </c>
      <c r="F1" s="2" t="inlineStr">
        <is>
          <t>Inflow</t>
        </is>
      </c>
      <c r="G1" s="2" t="inlineStr">
        <is>
          <t>Cash (end)</t>
        </is>
      </c>
    </row>
    <row r="2">
      <c r="A2" t="n">
        <v>1</v>
      </c>
      <c r="B2" s="3">
        <f>IFERROR(EDATE(DATEVALUE(Inputs!A20&amp;"-01"),1),"")</f>
        <v/>
      </c>
      <c r="C2" s="4">
        <f>Inputs!C20*(1+Assumptions!$B$3)</f>
        <v/>
      </c>
      <c r="D2" s="4">
        <f>Inputs!D20*(1+Assumptions!$B$4)</f>
        <v/>
      </c>
      <c r="E2" s="4">
        <f>D2-C2</f>
        <v/>
      </c>
      <c r="F2" s="4">
        <f>IF(A2=Assumptions!$B$7,Assumptions!$B$6*Assumptions!$B$8,0)</f>
        <v/>
      </c>
      <c r="G2" s="4">
        <f>Inputs!B20-E2+F2</f>
        <v/>
      </c>
    </row>
    <row r="3">
      <c r="A3" t="n">
        <v>2</v>
      </c>
      <c r="B3" s="3">
        <f>IFERROR(EDATE(DATEVALUE(Inputs!A20&amp;"-01"),2),"")</f>
        <v/>
      </c>
      <c r="C3" s="4">
        <f>C2*(1+Assumptions!$B$3)</f>
        <v/>
      </c>
      <c r="D3" s="4">
        <f>D2*(1+Assumptions!$B$4)</f>
        <v/>
      </c>
      <c r="E3" s="4">
        <f>D3-C3</f>
        <v/>
      </c>
      <c r="F3" s="4">
        <f>IF(A3=Assumptions!$B$7,Assumptions!$B$6*Assumptions!$B$8,0)</f>
        <v/>
      </c>
      <c r="G3" s="4">
        <f>G2-E3+F3</f>
        <v/>
      </c>
    </row>
    <row r="4">
      <c r="A4" t="n">
        <v>3</v>
      </c>
      <c r="B4" s="3">
        <f>IFERROR(EDATE(DATEVALUE(Inputs!A20&amp;"-01"),3),"")</f>
        <v/>
      </c>
      <c r="C4" s="4">
        <f>C3*(1+Assumptions!$B$3)</f>
        <v/>
      </c>
      <c r="D4" s="4">
        <f>D3*(1+Assumptions!$B$4)</f>
        <v/>
      </c>
      <c r="E4" s="4">
        <f>D4-C4</f>
        <v/>
      </c>
      <c r="F4" s="4">
        <f>IF(A4=Assumptions!$B$7,Assumptions!$B$6*Assumptions!$B$8,0)</f>
        <v/>
      </c>
      <c r="G4" s="4">
        <f>G3-E4+F4</f>
        <v/>
      </c>
    </row>
    <row r="5">
      <c r="A5" t="n">
        <v>4</v>
      </c>
      <c r="B5" s="3">
        <f>IFERROR(EDATE(DATEVALUE(Inputs!A20&amp;"-01"),4),"")</f>
        <v/>
      </c>
      <c r="C5" s="4">
        <f>C4*(1+Assumptions!$B$3)</f>
        <v/>
      </c>
      <c r="D5" s="4">
        <f>D4*(1+Assumptions!$B$4)</f>
        <v/>
      </c>
      <c r="E5" s="4">
        <f>D5-C5</f>
        <v/>
      </c>
      <c r="F5" s="4">
        <f>IF(A5=Assumptions!$B$7,Assumptions!$B$6*Assumptions!$B$8,0)</f>
        <v/>
      </c>
      <c r="G5" s="4">
        <f>G4-E5+F5</f>
        <v/>
      </c>
    </row>
    <row r="6">
      <c r="A6" t="n">
        <v>5</v>
      </c>
      <c r="B6" s="3">
        <f>IFERROR(EDATE(DATEVALUE(Inputs!A20&amp;"-01"),5),"")</f>
        <v/>
      </c>
      <c r="C6" s="4">
        <f>C5*(1+Assumptions!$B$3)</f>
        <v/>
      </c>
      <c r="D6" s="4">
        <f>D5*(1+Assumptions!$B$4)</f>
        <v/>
      </c>
      <c r="E6" s="4">
        <f>D6-C6</f>
        <v/>
      </c>
      <c r="F6" s="4">
        <f>IF(A6=Assumptions!$B$7,Assumptions!$B$6*Assumptions!$B$8,0)</f>
        <v/>
      </c>
      <c r="G6" s="4">
        <f>G5-E6+F6</f>
        <v/>
      </c>
    </row>
    <row r="7">
      <c r="A7" t="n">
        <v>6</v>
      </c>
      <c r="B7" s="3">
        <f>IFERROR(EDATE(DATEVALUE(Inputs!A20&amp;"-01"),6),"")</f>
        <v/>
      </c>
      <c r="C7" s="4">
        <f>C6*(1+Assumptions!$B$3)</f>
        <v/>
      </c>
      <c r="D7" s="4">
        <f>D6*(1+Assumptions!$B$4)</f>
        <v/>
      </c>
      <c r="E7" s="4">
        <f>D7-C7</f>
        <v/>
      </c>
      <c r="F7" s="4">
        <f>IF(A7=Assumptions!$B$7,Assumptions!$B$6*Assumptions!$B$8,0)</f>
        <v/>
      </c>
      <c r="G7" s="4">
        <f>G6-E7+F7</f>
        <v/>
      </c>
    </row>
    <row r="8">
      <c r="A8" t="n">
        <v>7</v>
      </c>
      <c r="B8" s="3">
        <f>IFERROR(EDATE(DATEVALUE(Inputs!A20&amp;"-01"),7),"")</f>
        <v/>
      </c>
      <c r="C8" s="4">
        <f>C7*(1+Assumptions!$B$3)</f>
        <v/>
      </c>
      <c r="D8" s="4">
        <f>D7*(1+Assumptions!$B$4)</f>
        <v/>
      </c>
      <c r="E8" s="4">
        <f>D8-C8</f>
        <v/>
      </c>
      <c r="F8" s="4">
        <f>IF(A8=Assumptions!$B$7,Assumptions!$B$6*Assumptions!$B$8,0)</f>
        <v/>
      </c>
      <c r="G8" s="4">
        <f>G7-E8+F8</f>
        <v/>
      </c>
    </row>
    <row r="9">
      <c r="A9" t="n">
        <v>8</v>
      </c>
      <c r="B9" s="3">
        <f>IFERROR(EDATE(DATEVALUE(Inputs!A20&amp;"-01"),8),"")</f>
        <v/>
      </c>
      <c r="C9" s="4">
        <f>C8*(1+Assumptions!$B$3)</f>
        <v/>
      </c>
      <c r="D9" s="4">
        <f>D8*(1+Assumptions!$B$4)</f>
        <v/>
      </c>
      <c r="E9" s="4">
        <f>D9-C9</f>
        <v/>
      </c>
      <c r="F9" s="4">
        <f>IF(A9=Assumptions!$B$7,Assumptions!$B$6*Assumptions!$B$8,0)</f>
        <v/>
      </c>
      <c r="G9" s="4">
        <f>G8-E9+F9</f>
        <v/>
      </c>
    </row>
    <row r="10">
      <c r="A10" t="n">
        <v>9</v>
      </c>
      <c r="B10" s="3">
        <f>IFERROR(EDATE(DATEVALUE(Inputs!A20&amp;"-01"),9),"")</f>
        <v/>
      </c>
      <c r="C10" s="4">
        <f>C9*(1+Assumptions!$B$3)</f>
        <v/>
      </c>
      <c r="D10" s="4">
        <f>D9*(1+Assumptions!$B$4)</f>
        <v/>
      </c>
      <c r="E10" s="4">
        <f>D10-C10</f>
        <v/>
      </c>
      <c r="F10" s="4">
        <f>IF(A10=Assumptions!$B$7,Assumptions!$B$6*Assumptions!$B$8,0)</f>
        <v/>
      </c>
      <c r="G10" s="4">
        <f>G9-E10+F10</f>
        <v/>
      </c>
    </row>
    <row r="11">
      <c r="A11" t="n">
        <v>10</v>
      </c>
      <c r="B11" s="3">
        <f>IFERROR(EDATE(DATEVALUE(Inputs!A20&amp;"-01"),10),"")</f>
        <v/>
      </c>
      <c r="C11" s="4">
        <f>C10*(1+Assumptions!$B$3)</f>
        <v/>
      </c>
      <c r="D11" s="4">
        <f>D10*(1+Assumptions!$B$4)</f>
        <v/>
      </c>
      <c r="E11" s="4">
        <f>D11-C11</f>
        <v/>
      </c>
      <c r="F11" s="4">
        <f>IF(A11=Assumptions!$B$7,Assumptions!$B$6*Assumptions!$B$8,0)</f>
        <v/>
      </c>
      <c r="G11" s="4">
        <f>G10-E11+F11</f>
        <v/>
      </c>
    </row>
    <row r="12">
      <c r="A12" t="n">
        <v>11</v>
      </c>
      <c r="B12" s="3">
        <f>IFERROR(EDATE(DATEVALUE(Inputs!A20&amp;"-01"),11),"")</f>
        <v/>
      </c>
      <c r="C12" s="4">
        <f>C11*(1+Assumptions!$B$3)</f>
        <v/>
      </c>
      <c r="D12" s="4">
        <f>D11*(1+Assumptions!$B$4)</f>
        <v/>
      </c>
      <c r="E12" s="4">
        <f>D12-C12</f>
        <v/>
      </c>
      <c r="F12" s="4">
        <f>IF(A12=Assumptions!$B$7,Assumptions!$B$6*Assumptions!$B$8,0)</f>
        <v/>
      </c>
      <c r="G12" s="4">
        <f>G11-E12+F12</f>
        <v/>
      </c>
    </row>
    <row r="13">
      <c r="A13" t="n">
        <v>12</v>
      </c>
      <c r="B13" s="3">
        <f>IFERROR(EDATE(DATEVALUE(Inputs!A20&amp;"-01"),12),"")</f>
        <v/>
      </c>
      <c r="C13" s="4">
        <f>C12*(1+Assumptions!$B$3)</f>
        <v/>
      </c>
      <c r="D13" s="4">
        <f>D12*(1+Assumptions!$B$4)</f>
        <v/>
      </c>
      <c r="E13" s="4">
        <f>D13-C13</f>
        <v/>
      </c>
      <c r="F13" s="4">
        <f>IF(A13=Assumptions!$B$7,Assumptions!$B$6*Assumptions!$B$8,0)</f>
        <v/>
      </c>
      <c r="G13" s="4">
        <f>G12-E13+F13</f>
        <v/>
      </c>
    </row>
    <row r="14">
      <c r="A14" t="n">
        <v>13</v>
      </c>
      <c r="B14" s="3">
        <f>IFERROR(EDATE(DATEVALUE(Inputs!A20&amp;"-01"),13),"")</f>
        <v/>
      </c>
      <c r="C14" s="4">
        <f>C13*(1+Assumptions!$B$3)</f>
        <v/>
      </c>
      <c r="D14" s="4">
        <f>D13*(1+Assumptions!$B$4)</f>
        <v/>
      </c>
      <c r="E14" s="4">
        <f>D14-C14</f>
        <v/>
      </c>
      <c r="F14" s="4">
        <f>IF(A14=Assumptions!$B$7,Assumptions!$B$6*Assumptions!$B$8,0)</f>
        <v/>
      </c>
      <c r="G14" s="4">
        <f>G13-E14+F14</f>
        <v/>
      </c>
    </row>
    <row r="15">
      <c r="A15" t="n">
        <v>14</v>
      </c>
      <c r="B15" s="3">
        <f>IFERROR(EDATE(DATEVALUE(Inputs!A20&amp;"-01"),14),"")</f>
        <v/>
      </c>
      <c r="C15" s="4">
        <f>C14*(1+Assumptions!$B$3)</f>
        <v/>
      </c>
      <c r="D15" s="4">
        <f>D14*(1+Assumptions!$B$4)</f>
        <v/>
      </c>
      <c r="E15" s="4">
        <f>D15-C15</f>
        <v/>
      </c>
      <c r="F15" s="4">
        <f>IF(A15=Assumptions!$B$7,Assumptions!$B$6*Assumptions!$B$8,0)</f>
        <v/>
      </c>
      <c r="G15" s="4">
        <f>G14-E15+F15</f>
        <v/>
      </c>
    </row>
    <row r="16">
      <c r="A16" t="n">
        <v>15</v>
      </c>
      <c r="B16" s="3">
        <f>IFERROR(EDATE(DATEVALUE(Inputs!A20&amp;"-01"),15),"")</f>
        <v/>
      </c>
      <c r="C16" s="4">
        <f>C15*(1+Assumptions!$B$3)</f>
        <v/>
      </c>
      <c r="D16" s="4">
        <f>D15*(1+Assumptions!$B$4)</f>
        <v/>
      </c>
      <c r="E16" s="4">
        <f>D16-C16</f>
        <v/>
      </c>
      <c r="F16" s="4">
        <f>IF(A16=Assumptions!$B$7,Assumptions!$B$6*Assumptions!$B$8,0)</f>
        <v/>
      </c>
      <c r="G16" s="4">
        <f>G15-E16+F16</f>
        <v/>
      </c>
    </row>
    <row r="17">
      <c r="A17" t="n">
        <v>16</v>
      </c>
      <c r="B17" s="3">
        <f>IFERROR(EDATE(DATEVALUE(Inputs!A20&amp;"-01"),16),"")</f>
        <v/>
      </c>
      <c r="C17" s="4">
        <f>C16*(1+Assumptions!$B$3)</f>
        <v/>
      </c>
      <c r="D17" s="4">
        <f>D16*(1+Assumptions!$B$4)</f>
        <v/>
      </c>
      <c r="E17" s="4">
        <f>D17-C17</f>
        <v/>
      </c>
      <c r="F17" s="4">
        <f>IF(A17=Assumptions!$B$7,Assumptions!$B$6*Assumptions!$B$8,0)</f>
        <v/>
      </c>
      <c r="G17" s="4">
        <f>G16-E17+F17</f>
        <v/>
      </c>
    </row>
    <row r="18">
      <c r="A18" t="n">
        <v>17</v>
      </c>
      <c r="B18" s="3">
        <f>IFERROR(EDATE(DATEVALUE(Inputs!A20&amp;"-01"),17),"")</f>
        <v/>
      </c>
      <c r="C18" s="4">
        <f>C17*(1+Assumptions!$B$3)</f>
        <v/>
      </c>
      <c r="D18" s="4">
        <f>D17*(1+Assumptions!$B$4)</f>
        <v/>
      </c>
      <c r="E18" s="4">
        <f>D18-C18</f>
        <v/>
      </c>
      <c r="F18" s="4">
        <f>IF(A18=Assumptions!$B$7,Assumptions!$B$6*Assumptions!$B$8,0)</f>
        <v/>
      </c>
      <c r="G18" s="4">
        <f>G17-E18+F18</f>
        <v/>
      </c>
    </row>
    <row r="19">
      <c r="A19" t="n">
        <v>18</v>
      </c>
      <c r="B19" s="3">
        <f>IFERROR(EDATE(DATEVALUE(Inputs!A20&amp;"-01"),18),"")</f>
        <v/>
      </c>
      <c r="C19" s="4">
        <f>C18*(1+Assumptions!$B$3)</f>
        <v/>
      </c>
      <c r="D19" s="4">
        <f>D18*(1+Assumptions!$B$4)</f>
        <v/>
      </c>
      <c r="E19" s="4">
        <f>D19-C19</f>
        <v/>
      </c>
      <c r="F19" s="4">
        <f>IF(A19=Assumptions!$B$7,Assumptions!$B$6*Assumptions!$B$8,0)</f>
        <v/>
      </c>
      <c r="G19" s="4">
        <f>G18-E19+F19</f>
        <v/>
      </c>
    </row>
    <row r="20">
      <c r="A20" t="n">
        <v>19</v>
      </c>
      <c r="B20" s="3">
        <f>IFERROR(EDATE(DATEVALUE(Inputs!A20&amp;"-01"),19),"")</f>
        <v/>
      </c>
      <c r="C20" s="4">
        <f>C19*(1+Assumptions!$B$3)</f>
        <v/>
      </c>
      <c r="D20" s="4">
        <f>D19*(1+Assumptions!$B$4)</f>
        <v/>
      </c>
      <c r="E20" s="4">
        <f>D20-C20</f>
        <v/>
      </c>
      <c r="F20" s="4">
        <f>IF(A20=Assumptions!$B$7,Assumptions!$B$6*Assumptions!$B$8,0)</f>
        <v/>
      </c>
      <c r="G20" s="4">
        <f>G19-E20+F20</f>
        <v/>
      </c>
    </row>
    <row r="21">
      <c r="A21" t="n">
        <v>20</v>
      </c>
      <c r="B21" s="3">
        <f>IFERROR(EDATE(DATEVALUE(Inputs!A20&amp;"-01"),20),"")</f>
        <v/>
      </c>
      <c r="C21" s="4">
        <f>C20*(1+Assumptions!$B$3)</f>
        <v/>
      </c>
      <c r="D21" s="4">
        <f>D20*(1+Assumptions!$B$4)</f>
        <v/>
      </c>
      <c r="E21" s="4">
        <f>D21-C21</f>
        <v/>
      </c>
      <c r="F21" s="4">
        <f>IF(A21=Assumptions!$B$7,Assumptions!$B$6*Assumptions!$B$8,0)</f>
        <v/>
      </c>
      <c r="G21" s="4">
        <f>G20-E21+F21</f>
        <v/>
      </c>
    </row>
    <row r="22">
      <c r="A22" t="n">
        <v>21</v>
      </c>
      <c r="B22" s="3">
        <f>IFERROR(EDATE(DATEVALUE(Inputs!A20&amp;"-01"),21),"")</f>
        <v/>
      </c>
      <c r="C22" s="4">
        <f>C21*(1+Assumptions!$B$3)</f>
        <v/>
      </c>
      <c r="D22" s="4">
        <f>D21*(1+Assumptions!$B$4)</f>
        <v/>
      </c>
      <c r="E22" s="4">
        <f>D22-C22</f>
        <v/>
      </c>
      <c r="F22" s="4">
        <f>IF(A22=Assumptions!$B$7,Assumptions!$B$6*Assumptions!$B$8,0)</f>
        <v/>
      </c>
      <c r="G22" s="4">
        <f>G21-E22+F22</f>
        <v/>
      </c>
    </row>
    <row r="23">
      <c r="A23" t="n">
        <v>22</v>
      </c>
      <c r="B23" s="3">
        <f>IFERROR(EDATE(DATEVALUE(Inputs!A20&amp;"-01"),22),"")</f>
        <v/>
      </c>
      <c r="C23" s="4">
        <f>C22*(1+Assumptions!$B$3)</f>
        <v/>
      </c>
      <c r="D23" s="4">
        <f>D22*(1+Assumptions!$B$4)</f>
        <v/>
      </c>
      <c r="E23" s="4">
        <f>D23-C23</f>
        <v/>
      </c>
      <c r="F23" s="4">
        <f>IF(A23=Assumptions!$B$7,Assumptions!$B$6*Assumptions!$B$8,0)</f>
        <v/>
      </c>
      <c r="G23" s="4">
        <f>G22-E23+F23</f>
        <v/>
      </c>
    </row>
    <row r="24">
      <c r="A24" t="n">
        <v>23</v>
      </c>
      <c r="B24" s="3">
        <f>IFERROR(EDATE(DATEVALUE(Inputs!A20&amp;"-01"),23),"")</f>
        <v/>
      </c>
      <c r="C24" s="4">
        <f>C23*(1+Assumptions!$B$3)</f>
        <v/>
      </c>
      <c r="D24" s="4">
        <f>D23*(1+Assumptions!$B$4)</f>
        <v/>
      </c>
      <c r="E24" s="4">
        <f>D24-C24</f>
        <v/>
      </c>
      <c r="F24" s="4">
        <f>IF(A24=Assumptions!$B$7,Assumptions!$B$6*Assumptions!$B$8,0)</f>
        <v/>
      </c>
      <c r="G24" s="4">
        <f>G23-E24+F24</f>
        <v/>
      </c>
    </row>
    <row r="25">
      <c r="A25" t="n">
        <v>24</v>
      </c>
      <c r="B25" s="3">
        <f>IFERROR(EDATE(DATEVALUE(Inputs!A20&amp;"-01"),24),"")</f>
        <v/>
      </c>
      <c r="C25" s="4">
        <f>C24*(1+Assumptions!$B$3)</f>
        <v/>
      </c>
      <c r="D25" s="4">
        <f>D24*(1+Assumptions!$B$4)</f>
        <v/>
      </c>
      <c r="E25" s="4">
        <f>D25-C25</f>
        <v/>
      </c>
      <c r="F25" s="4">
        <f>IF(A25=Assumptions!$B$7,Assumptions!$B$6*Assumptions!$B$8,0)</f>
        <v/>
      </c>
      <c r="G25" s="4">
        <f>G24-E25+F25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t="inlineStr">
        <is>
          <t>Runway (months until cash &lt; buffer)</t>
        </is>
      </c>
      <c r="B1">
        <f>IFERROR(MATCH(TRUE,INDEX(Projection!G2:G25&lt;Assumptions!$B$5,0),0),"beyond 24 months")</f>
        <v/>
      </c>
    </row>
    <row r="2">
      <c r="A2" t="inlineStr">
        <is>
          <t>Zero-cash month</t>
        </is>
      </c>
      <c r="B2">
        <f>IFERROR(TEXT(INDEX(Projection!B2:B25,B1),"yyyy-mm"),"beyond the horizon")</f>
        <v/>
      </c>
    </row>
    <row r="3">
      <c r="A3" t="inlineStr">
        <is>
          <t>Starting cash</t>
        </is>
      </c>
      <c r="B3">
        <f>Inputs!B20</f>
        <v/>
      </c>
    </row>
    <row r="4">
      <c r="A4" t="inlineStr">
        <is>
          <t>Latest monthly net burn</t>
        </is>
      </c>
      <c r="B4">
        <f>Inputs!E20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8" customWidth="1" min="2" max="2"/>
    <col width="48" customWidth="1" min="3" max="3"/>
    <col width="40" customWidth="1" min="4" max="4"/>
  </cols>
  <sheetData>
    <row r="1">
      <c r="A1" t="inlineStr">
        <is>
          <t>#</t>
        </is>
      </c>
      <c r="B1" t="inlineStr">
        <is>
          <t>Reference</t>
        </is>
      </c>
      <c r="C1" t="inlineStr">
        <is>
          <t>Record</t>
        </is>
      </c>
      <c r="D1" t="inlineStr">
        <is>
          <t>Source</t>
        </is>
      </c>
    </row>
    <row r="2">
      <c r="A2" t="inlineStr"/>
      <c r="B2" t="inlineStr">
        <is>
          <t>financial_snapshot:b11e4697-0950-49c0-8e36-07286a2fa79f</t>
        </is>
      </c>
      <c r="C2" t="inlineStr">
        <is>
          <t>financial snapshot 2025-03</t>
        </is>
      </c>
      <c r="D2" t="inlineStr">
        <is>
          <t>imported financials</t>
        </is>
      </c>
    </row>
    <row r="3">
      <c r="A3" t="inlineStr"/>
      <c r="B3" t="inlineStr">
        <is>
          <t>financial_snapshot:03a7091b-dad7-4e04-a8fa-dd9266b81b99</t>
        </is>
      </c>
      <c r="C3" t="inlineStr">
        <is>
          <t>financial snapshot 2025-04</t>
        </is>
      </c>
      <c r="D3" t="inlineStr">
        <is>
          <t>imported financials</t>
        </is>
      </c>
    </row>
    <row r="4">
      <c r="A4" t="inlineStr"/>
      <c r="B4" t="inlineStr">
        <is>
          <t>financial_snapshot:d012e1a9-9be2-40f9-815e-b2eaa9a97fb4</t>
        </is>
      </c>
      <c r="C4" t="inlineStr">
        <is>
          <t>financial snapshot 2025-05</t>
        </is>
      </c>
      <c r="D4" t="inlineStr">
        <is>
          <t>imported financials</t>
        </is>
      </c>
    </row>
    <row r="5">
      <c r="A5" t="inlineStr"/>
      <c r="B5" t="inlineStr">
        <is>
          <t>financial_snapshot:2f1c4279-a2ed-4c03-85cf-07a1105a6d2c</t>
        </is>
      </c>
      <c r="C5" t="inlineStr">
        <is>
          <t>financial snapshot 2025-06</t>
        </is>
      </c>
      <c r="D5" t="inlineStr">
        <is>
          <t>imported financials</t>
        </is>
      </c>
    </row>
    <row r="6">
      <c r="A6" t="inlineStr"/>
      <c r="B6" t="inlineStr">
        <is>
          <t>financial_snapshot:3deef059-b6e2-4941-a536-2c625bec5be6</t>
        </is>
      </c>
      <c r="C6" t="inlineStr">
        <is>
          <t>financial snapshot 2025-07</t>
        </is>
      </c>
      <c r="D6" t="inlineStr">
        <is>
          <t>imported financials</t>
        </is>
      </c>
    </row>
    <row r="7">
      <c r="A7" t="inlineStr"/>
      <c r="B7" t="inlineStr">
        <is>
          <t>financial_snapshot:ee553875-44ce-49bc-8e68-ac202512a95a</t>
        </is>
      </c>
      <c r="C7" t="inlineStr">
        <is>
          <t>financial snapshot 2025-08</t>
        </is>
      </c>
      <c r="D7" t="inlineStr">
        <is>
          <t>imported financials</t>
        </is>
      </c>
    </row>
    <row r="8">
      <c r="A8" t="inlineStr"/>
      <c r="B8" t="inlineStr">
        <is>
          <t>financial_snapshot:de8c3cb9-5f13-438b-ace3-5f9965bb8602</t>
        </is>
      </c>
      <c r="C8" t="inlineStr">
        <is>
          <t>financial snapshot 2025-09</t>
        </is>
      </c>
      <c r="D8" t="inlineStr">
        <is>
          <t>imported financials</t>
        </is>
      </c>
    </row>
    <row r="9">
      <c r="A9" t="inlineStr"/>
      <c r="B9" t="inlineStr">
        <is>
          <t>financial_snapshot:83af873f-db67-4ff2-89f8-13299465b36c</t>
        </is>
      </c>
      <c r="C9" t="inlineStr">
        <is>
          <t>financial snapshot 2025-10</t>
        </is>
      </c>
      <c r="D9" t="inlineStr">
        <is>
          <t>imported financials</t>
        </is>
      </c>
    </row>
    <row r="10">
      <c r="A10" t="inlineStr"/>
      <c r="B10" t="inlineStr">
        <is>
          <t>financial_snapshot:19b8eb3a-6867-4d14-9c5b-7cb4e61e7836</t>
        </is>
      </c>
      <c r="C10" t="inlineStr">
        <is>
          <t>financial snapshot 2025-11</t>
        </is>
      </c>
      <c r="D10" t="inlineStr">
        <is>
          <t>imported financials</t>
        </is>
      </c>
    </row>
    <row r="11">
      <c r="A11" t="inlineStr"/>
      <c r="B11" t="inlineStr">
        <is>
          <t>financial_snapshot:7e30183c-dbd0-439b-aeaf-7cdb4156ec60</t>
        </is>
      </c>
      <c r="C11" t="inlineStr">
        <is>
          <t>financial snapshot 2025-12</t>
        </is>
      </c>
      <c r="D11" t="inlineStr">
        <is>
          <t>imported financials</t>
        </is>
      </c>
    </row>
    <row r="12">
      <c r="A12" t="inlineStr"/>
      <c r="B12" t="inlineStr">
        <is>
          <t>financial_snapshot:4b5acaa3-dd72-4592-89bc-3d1e4538cd1e</t>
        </is>
      </c>
      <c r="C12" t="inlineStr">
        <is>
          <t>financial snapshot 2026-01</t>
        </is>
      </c>
      <c r="D12" t="inlineStr">
        <is>
          <t>imported financials</t>
        </is>
      </c>
    </row>
    <row r="13">
      <c r="A13" t="inlineStr"/>
      <c r="B13" t="inlineStr">
        <is>
          <t>financial_snapshot:7d1a51cf-6054-4eaa-a2ef-b2e94ce932dd</t>
        </is>
      </c>
      <c r="C13" t="inlineStr">
        <is>
          <t>financial snapshot 2026-02</t>
        </is>
      </c>
      <c r="D13" t="inlineStr">
        <is>
          <t>imported financials</t>
        </is>
      </c>
    </row>
    <row r="14">
      <c r="A14" t="inlineStr"/>
      <c r="B14" t="inlineStr">
        <is>
          <t>financial_snapshot:31e93776-e63c-4578-86a5-0897926c5f14</t>
        </is>
      </c>
      <c r="C14" t="inlineStr">
        <is>
          <t>financial snapshot 2026-03</t>
        </is>
      </c>
      <c r="D14" t="inlineStr">
        <is>
          <t>imported financials</t>
        </is>
      </c>
    </row>
    <row r="15">
      <c r="A15" t="inlineStr"/>
      <c r="B15" t="inlineStr">
        <is>
          <t>financial_snapshot:389717e9-3245-473d-a38e-b63c013fa3d4</t>
        </is>
      </c>
      <c r="C15" t="inlineStr">
        <is>
          <t>financial snapshot 2026-04</t>
        </is>
      </c>
      <c r="D15" t="inlineStr">
        <is>
          <t>imported financials</t>
        </is>
      </c>
    </row>
    <row r="16">
      <c r="A16" t="inlineStr"/>
      <c r="B16" t="inlineStr">
        <is>
          <t>financial_snapshot:e61cfddf-a4a6-4bf0-8146-7956c60637f6</t>
        </is>
      </c>
      <c r="C16" t="inlineStr">
        <is>
          <t>financial snapshot 2026-05</t>
        </is>
      </c>
      <c r="D16" t="inlineStr">
        <is>
          <t>imported financials</t>
        </is>
      </c>
    </row>
    <row r="17">
      <c r="A17" t="inlineStr"/>
      <c r="B17" t="inlineStr">
        <is>
          <t>financial_snapshot:e5a24e11-0c4e-489b-85e4-5b3d71a64670</t>
        </is>
      </c>
      <c r="C17" t="inlineStr">
        <is>
          <t>financial snapshot 2026-06</t>
        </is>
      </c>
      <c r="D17" t="inlineStr">
        <is>
          <t>imported financials</t>
        </is>
      </c>
    </row>
    <row r="18">
      <c r="A18" t="inlineStr"/>
      <c r="B18" t="inlineStr">
        <is>
          <t>financial_snapshot:f6163efe-7b51-4538-b138-a2f2e071e363</t>
        </is>
      </c>
      <c r="C18" t="inlineStr">
        <is>
          <t>financial snapshot 2026-07</t>
        </is>
      </c>
      <c r="D18" t="inlineStr">
        <is>
          <t>imported financials</t>
        </is>
      </c>
    </row>
    <row r="19">
      <c r="A19" t="inlineStr"/>
      <c r="B19" t="inlineStr">
        <is>
          <t>financial_snapshot:0ad90de9-c335-4f14-a208-14e3f52705b2</t>
        </is>
      </c>
      <c r="C19" t="inlineStr">
        <is>
          <t>financial snapshot 2026-08</t>
        </is>
      </c>
      <c r="D19" t="inlineStr">
        <is>
          <t>imported financials</t>
        </is>
      </c>
    </row>
    <row r="20">
      <c r="A20" t="inlineStr"/>
      <c r="B20" t="inlineStr">
        <is>
          <t>config:forecast.yaml</t>
        </is>
      </c>
      <c r="C20" t="inlineStr">
        <is>
          <t>trailing burn window, decision lag</t>
        </is>
      </c>
      <c r="D20" t="inlineStr">
        <is>
          <t>configuration</t>
        </is>
      </c>
    </row>
    <row r="21">
      <c r="A21" t="inlineStr"/>
      <c r="B21" t="inlineStr">
        <is>
          <t>config:scoring/reference.yaml#stage_probability</t>
        </is>
      </c>
      <c r="C21" t="inlineStr">
        <is>
          <t>stage probability</t>
        </is>
      </c>
      <c r="D21" t="inlineStr">
        <is>
          <t>configuration</t>
        </is>
      </c>
    </row>
    <row r="22">
      <c r="A22" t="inlineStr"/>
      <c r="B22" t="inlineStr">
        <is>
          <t>organization:11942a7b-a024-4a7d-b463-92f9a6f45c62#profile.raise_target</t>
        </is>
      </c>
      <c r="C22" t="inlineStr">
        <is>
          <t>raise target</t>
        </is>
      </c>
      <c r="D22" t="inlineStr">
        <is>
          <t>organisation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2026-09-30T10:32:24Z</dcterms:created>
  <dcterms:modified xmlns:dcterms="http://purl.org/dc/terms/" xmlns:xsi="http://www.w3.org/2001/XMLSchema-instance" xsi:type="dcterms:W3CDTF">2026-09-30T10:32:24Z</dcterms:modified>
</cp:coreProperties>
</file>